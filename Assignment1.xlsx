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790f9a9a5e38c9/Desktop/"/>
    </mc:Choice>
  </mc:AlternateContent>
  <xr:revisionPtr revIDLastSave="0" documentId="8_{183A7F03-0A7D-4C1F-8987-E0CB13CA48AE}" xr6:coauthVersionLast="47" xr6:coauthVersionMax="47" xr10:uidLastSave="{00000000-0000-0000-0000-000000000000}"/>
  <bookViews>
    <workbookView xWindow="-108" yWindow="-108" windowWidth="23256" windowHeight="12456" xr2:uid="{19D19788-733A-42E5-98BC-B077CFF183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1" l="1"/>
  <c r="H13" i="1"/>
  <c r="H14" i="1"/>
  <c r="H15" i="1"/>
  <c r="H16" i="1"/>
  <c r="H11" i="1"/>
  <c r="H3" i="1"/>
  <c r="H4" i="1"/>
  <c r="H5" i="1"/>
  <c r="H6" i="1"/>
  <c r="H7" i="1"/>
  <c r="G12" i="1"/>
  <c r="G13" i="1"/>
  <c r="G14" i="1"/>
  <c r="G15" i="1"/>
  <c r="G16" i="1"/>
  <c r="G11" i="1"/>
  <c r="F12" i="1"/>
  <c r="F13" i="1"/>
  <c r="F14" i="1"/>
  <c r="F15" i="1"/>
  <c r="F16" i="1"/>
  <c r="F11" i="1"/>
  <c r="E12" i="1"/>
  <c r="E13" i="1"/>
  <c r="E14" i="1"/>
  <c r="E15" i="1"/>
  <c r="E16" i="1"/>
  <c r="E11" i="1"/>
  <c r="D12" i="1"/>
  <c r="D13" i="1"/>
  <c r="D14" i="1"/>
  <c r="D15" i="1"/>
  <c r="D16" i="1"/>
  <c r="D11" i="1"/>
  <c r="H2" i="1"/>
  <c r="G3" i="1"/>
  <c r="G4" i="1"/>
  <c r="G5" i="1"/>
  <c r="G6" i="1"/>
  <c r="G7" i="1"/>
  <c r="G2" i="1"/>
  <c r="F7" i="1"/>
  <c r="F2" i="1"/>
  <c r="F3" i="1"/>
  <c r="F4" i="1"/>
  <c r="F5" i="1"/>
  <c r="F6" i="1"/>
</calcChain>
</file>

<file path=xl/sharedStrings.xml><?xml version="1.0" encoding="utf-8"?>
<sst xmlns="http://schemas.openxmlformats.org/spreadsheetml/2006/main" count="25" uniqueCount="23">
  <si>
    <t>Product_ID</t>
  </si>
  <si>
    <t>Product</t>
  </si>
  <si>
    <t>Sales</t>
  </si>
  <si>
    <t xml:space="preserve">Target </t>
  </si>
  <si>
    <t>Region</t>
  </si>
  <si>
    <t>A</t>
  </si>
  <si>
    <t>B</t>
  </si>
  <si>
    <t>C</t>
  </si>
  <si>
    <t>D</t>
  </si>
  <si>
    <t>E</t>
  </si>
  <si>
    <t>F</t>
  </si>
  <si>
    <t>North</t>
  </si>
  <si>
    <t>South</t>
  </si>
  <si>
    <t>East</t>
  </si>
  <si>
    <t>West</t>
  </si>
  <si>
    <t>Sales Target</t>
  </si>
  <si>
    <t>Regional Bonus Eligibility</t>
  </si>
  <si>
    <t>Assign commission rate</t>
  </si>
  <si>
    <t>Bonus amount</t>
  </si>
  <si>
    <t>sales performance</t>
  </si>
  <si>
    <t>Price tier</t>
  </si>
  <si>
    <t>Year-end bonus</t>
  </si>
  <si>
    <t>Top 25% of All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</si>
</sst>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Algerian"/>
      <family val="5"/>
    </font>
    <font>
      <sz val="12"/>
      <color theme="1"/>
      <name val="Bell MT"/>
      <family val="1"/>
    </font>
    <font>
      <sz val="12"/>
      <color theme="1"/>
      <name val="Bodoni MT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2" fillId="0" borderId="1" xfId="0" applyFont="1" applyBorder="1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9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D78AE-36A1-48B7-83ED-A2492F1D6D5B}">
  <dimension ref="A1:H16"/>
  <sheetViews>
    <sheetView tabSelected="1" workbookViewId="0">
      <selection activeCell="I10" sqref="I10"/>
    </sheetView>
  </sheetViews>
  <sheetFormatPr defaultRowHeight="14.4" x14ac:dyDescent="0.3"/>
  <cols>
    <col min="1" max="1" width="14.44140625" customWidth="1"/>
    <col min="2" max="2" width="10.88671875" customWidth="1"/>
    <col min="3" max="3" width="8.109375" customWidth="1"/>
    <col min="4" max="4" width="18.109375" customWidth="1"/>
    <col min="5" max="5" width="25.44140625" customWidth="1"/>
    <col min="6" max="6" width="18.21875" customWidth="1"/>
    <col min="7" max="7" width="34.44140625" customWidth="1"/>
    <col min="8" max="8" width="30.33203125" customWidth="1"/>
  </cols>
  <sheetData>
    <row r="1" spans="1:8" ht="16.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15</v>
      </c>
      <c r="G1" s="5" t="s">
        <v>16</v>
      </c>
      <c r="H1" s="4" t="s">
        <v>17</v>
      </c>
    </row>
    <row r="2" spans="1:8" ht="16.2" x14ac:dyDescent="0.35">
      <c r="A2" s="6">
        <v>101</v>
      </c>
      <c r="B2" s="6" t="s">
        <v>5</v>
      </c>
      <c r="C2" s="6">
        <v>120</v>
      </c>
      <c r="D2" s="6">
        <v>150</v>
      </c>
      <c r="E2" s="6" t="s">
        <v>11</v>
      </c>
      <c r="F2" s="6" t="str">
        <f>IF(B1 &gt;= C1, "Met Target", "Did Not Meet")</f>
        <v>Did Not Meet</v>
      </c>
      <c r="G2" s="7" t="str">
        <f>IF(AND(E2="North", C2&gt;200), "Eligible", "Not Eligible")</f>
        <v>Not Eligible</v>
      </c>
      <c r="H2" s="8">
        <f>IF(C2&gt;=200, 0.1, IF(C2&gt;=150, 0.07, 0.05))</f>
        <v>0.05</v>
      </c>
    </row>
    <row r="3" spans="1:8" ht="16.2" x14ac:dyDescent="0.35">
      <c r="A3" s="6">
        <v>102</v>
      </c>
      <c r="B3" s="6" t="s">
        <v>6</v>
      </c>
      <c r="C3" s="6">
        <v>150</v>
      </c>
      <c r="D3" s="6">
        <v>140</v>
      </c>
      <c r="E3" s="6" t="s">
        <v>12</v>
      </c>
      <c r="F3" s="6" t="str">
        <f>IF(B2 &gt;= C2, "Met Target", "Did Not Meet")</f>
        <v>Met Target</v>
      </c>
      <c r="G3" s="7" t="str">
        <f t="shared" ref="G3:G7" si="0">IF(AND(E3="North", C3&gt;200), "Eligible", "Not Eligible")</f>
        <v>Not Eligible</v>
      </c>
      <c r="H3" s="8">
        <f t="shared" ref="H3:H7" si="1">IF(C3&gt;=200, 0.1, IF(C3&gt;=150, 0.07, 0.05))</f>
        <v>7.0000000000000007E-2</v>
      </c>
    </row>
    <row r="4" spans="1:8" ht="16.2" x14ac:dyDescent="0.35">
      <c r="A4" s="6">
        <v>103</v>
      </c>
      <c r="B4" s="6" t="s">
        <v>7</v>
      </c>
      <c r="C4" s="6">
        <v>200</v>
      </c>
      <c r="D4" s="6">
        <v>200</v>
      </c>
      <c r="E4" s="6" t="s">
        <v>13</v>
      </c>
      <c r="F4" s="6" t="str">
        <f>IF(B3 &gt;= C3, "Met Target", "Did Not Meet")</f>
        <v>Met Target</v>
      </c>
      <c r="G4" s="7" t="str">
        <f t="shared" si="0"/>
        <v>Not Eligible</v>
      </c>
      <c r="H4" s="8">
        <f t="shared" si="1"/>
        <v>0.1</v>
      </c>
    </row>
    <row r="5" spans="1:8" ht="16.2" x14ac:dyDescent="0.35">
      <c r="A5" s="6">
        <v>104</v>
      </c>
      <c r="B5" s="6" t="s">
        <v>8</v>
      </c>
      <c r="C5" s="6">
        <v>90</v>
      </c>
      <c r="D5" s="6">
        <v>100</v>
      </c>
      <c r="E5" s="6" t="s">
        <v>14</v>
      </c>
      <c r="F5" s="6" t="str">
        <f>IF(B4 &gt;= C4, "Met Target", "Did Not Meet")</f>
        <v>Met Target</v>
      </c>
      <c r="G5" s="7" t="str">
        <f t="shared" si="0"/>
        <v>Not Eligible</v>
      </c>
      <c r="H5" s="8">
        <f t="shared" si="1"/>
        <v>0.05</v>
      </c>
    </row>
    <row r="6" spans="1:8" ht="16.2" x14ac:dyDescent="0.35">
      <c r="A6" s="6">
        <v>105</v>
      </c>
      <c r="B6" s="6" t="s">
        <v>9</v>
      </c>
      <c r="C6" s="6">
        <v>220</v>
      </c>
      <c r="D6" s="6">
        <v>210</v>
      </c>
      <c r="E6" s="6" t="s">
        <v>11</v>
      </c>
      <c r="F6" s="6" t="str">
        <f>IF(B5 &gt;= C5, "Met Target", "Did Not Meet")</f>
        <v>Met Target</v>
      </c>
      <c r="G6" s="7" t="str">
        <f t="shared" si="0"/>
        <v>Eligible</v>
      </c>
      <c r="H6" s="8">
        <f t="shared" si="1"/>
        <v>0.1</v>
      </c>
    </row>
    <row r="7" spans="1:8" ht="16.2" x14ac:dyDescent="0.35">
      <c r="A7" s="6">
        <v>106</v>
      </c>
      <c r="B7" s="6" t="s">
        <v>10</v>
      </c>
      <c r="C7" s="6">
        <v>160</v>
      </c>
      <c r="D7" s="6">
        <v>160</v>
      </c>
      <c r="E7" s="6" t="s">
        <v>12</v>
      </c>
      <c r="F7" s="6" t="str">
        <f>IF(B6 &gt;= C6, "Met Target", "Did Not Meet")</f>
        <v>Met Target</v>
      </c>
      <c r="G7" s="7" t="str">
        <f t="shared" si="0"/>
        <v>Not Eligible</v>
      </c>
      <c r="H7" s="8">
        <f t="shared" si="1"/>
        <v>7.0000000000000007E-2</v>
      </c>
    </row>
    <row r="10" spans="1:8" ht="16.2" x14ac:dyDescent="0.3">
      <c r="D10" s="4" t="s">
        <v>18</v>
      </c>
      <c r="E10" s="4" t="s">
        <v>19</v>
      </c>
      <c r="F10" s="2" t="s">
        <v>20</v>
      </c>
      <c r="G10" s="2" t="s">
        <v>21</v>
      </c>
      <c r="H10" s="2" t="s">
        <v>22</v>
      </c>
    </row>
    <row r="11" spans="1:8" ht="15.6" x14ac:dyDescent="0.3">
      <c r="D11" s="6">
        <f>IF(C2 &gt;= D2, C2*0.1, C2*0.05)</f>
        <v>6</v>
      </c>
      <c r="E11" s="6" t="str">
        <f>IF(C2&gt;=200,"Excellent",IF(C2&gt;=150,"Good","Needs Improvement"))</f>
        <v>Needs Improvement</v>
      </c>
      <c r="F11" s="3" t="str">
        <f>IF(C2&gt;200,"High",IF(C2&gt;=100,"Medium","Low"))</f>
        <v>Medium</v>
      </c>
      <c r="G11" s="3">
        <f>IF(AND(C2&gt;=150, E2="North"), 500, 300)</f>
        <v>300</v>
      </c>
      <c r="H11" s="1" t="str">
        <f>IF(C2 &gt;= PERCENTILE($C$2:$C$7, 0.75), "High Performer", "Normal")</f>
        <v>Normal</v>
      </c>
    </row>
    <row r="12" spans="1:8" ht="15.6" x14ac:dyDescent="0.3">
      <c r="D12" s="6">
        <f t="shared" ref="D12:D16" si="2">IF(C3 &gt;= D3, C3*0.1, C3*0.05)</f>
        <v>15</v>
      </c>
      <c r="E12" s="6" t="str">
        <f t="shared" ref="E12:E16" si="3">IF(C3&gt;=200,"Excellent",IF(C3&gt;=150,"Good","Needs Improvement"))</f>
        <v>Good</v>
      </c>
      <c r="F12" s="3" t="str">
        <f t="shared" ref="F12:F16" si="4">IF(C3&gt;200,"High",IF(C3&gt;=100,"Medium","Low"))</f>
        <v>Medium</v>
      </c>
      <c r="G12" s="3">
        <f t="shared" ref="G12:G16" si="5">IF(AND(C3&gt;=150, E3="North"), 500, 300)</f>
        <v>300</v>
      </c>
      <c r="H12" s="1" t="str">
        <f t="shared" ref="H12:H16" si="6">IF(C3 &gt;= PERCENTILE($C$2:$C$7, 0.75), "High Performer", "Normal")</f>
        <v>Normal</v>
      </c>
    </row>
    <row r="13" spans="1:8" ht="15.6" x14ac:dyDescent="0.3">
      <c r="D13" s="6">
        <f t="shared" si="2"/>
        <v>20</v>
      </c>
      <c r="E13" s="6" t="str">
        <f t="shared" si="3"/>
        <v>Excellent</v>
      </c>
      <c r="F13" s="3" t="str">
        <f t="shared" si="4"/>
        <v>Medium</v>
      </c>
      <c r="G13" s="3">
        <f t="shared" si="5"/>
        <v>300</v>
      </c>
      <c r="H13" s="1" t="str">
        <f t="shared" si="6"/>
        <v>High Performer</v>
      </c>
    </row>
    <row r="14" spans="1:8" ht="15.6" x14ac:dyDescent="0.3">
      <c r="D14" s="6">
        <f t="shared" si="2"/>
        <v>4.5</v>
      </c>
      <c r="E14" s="6" t="str">
        <f t="shared" si="3"/>
        <v>Needs Improvement</v>
      </c>
      <c r="F14" s="3" t="str">
        <f t="shared" si="4"/>
        <v>Low</v>
      </c>
      <c r="G14" s="3">
        <f t="shared" si="5"/>
        <v>300</v>
      </c>
      <c r="H14" s="1" t="str">
        <f t="shared" si="6"/>
        <v>Normal</v>
      </c>
    </row>
    <row r="15" spans="1:8" ht="15.6" x14ac:dyDescent="0.3">
      <c r="D15" s="6">
        <f t="shared" si="2"/>
        <v>22</v>
      </c>
      <c r="E15" s="6" t="str">
        <f t="shared" si="3"/>
        <v>Excellent</v>
      </c>
      <c r="F15" s="3" t="str">
        <f t="shared" si="4"/>
        <v>High</v>
      </c>
      <c r="G15" s="3">
        <f t="shared" si="5"/>
        <v>500</v>
      </c>
      <c r="H15" s="1" t="str">
        <f t="shared" si="6"/>
        <v>High Performer</v>
      </c>
    </row>
    <row r="16" spans="1:8" ht="15.6" x14ac:dyDescent="0.3">
      <c r="D16" s="6">
        <f t="shared" si="2"/>
        <v>16</v>
      </c>
      <c r="E16" s="6" t="str">
        <f t="shared" si="3"/>
        <v>Good</v>
      </c>
      <c r="F16" s="3" t="str">
        <f t="shared" si="4"/>
        <v>Medium</v>
      </c>
      <c r="G16" s="3">
        <f t="shared" si="5"/>
        <v>300</v>
      </c>
      <c r="H16" s="1" t="str">
        <f t="shared" si="6"/>
        <v>Normal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Mondal</dc:creator>
  <cp:lastModifiedBy>Sneha Mondal</cp:lastModifiedBy>
  <dcterms:created xsi:type="dcterms:W3CDTF">2025-11-23T15:49:35Z</dcterms:created>
  <dcterms:modified xsi:type="dcterms:W3CDTF">2025-11-23T17:28:03Z</dcterms:modified>
</cp:coreProperties>
</file>