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790f9a9a5e38c9/Desktop/"/>
    </mc:Choice>
  </mc:AlternateContent>
  <xr:revisionPtr revIDLastSave="0" documentId="8_{B188992B-BC6F-4E47-BA90-527F8F7924DA}" xr6:coauthVersionLast="47" xr6:coauthVersionMax="47" xr10:uidLastSave="{00000000-0000-0000-0000-000000000000}"/>
  <bookViews>
    <workbookView xWindow="-108" yWindow="-108" windowWidth="23256" windowHeight="12456" activeTab="8" xr2:uid="{38667E43-AA40-43BB-958A-79599A94E253}"/>
  </bookViews>
  <sheets>
    <sheet name="Products" sheetId="1" r:id="rId1"/>
    <sheet name="Orders" sheetId="2" r:id="rId2"/>
    <sheet name="1ST" sheetId="3" r:id="rId3"/>
    <sheet name="2nd" sheetId="4" r:id="rId4"/>
    <sheet name="3RD" sheetId="5" r:id="rId5"/>
    <sheet name="4TH" sheetId="6" r:id="rId6"/>
    <sheet name="5TH" sheetId="7" r:id="rId7"/>
    <sheet name="6TH" sheetId="8" r:id="rId8"/>
    <sheet name="7TH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8" l="1"/>
  <c r="D5" i="9"/>
  <c r="D6" i="9"/>
  <c r="D7" i="9"/>
  <c r="D8" i="9"/>
  <c r="D9" i="9"/>
  <c r="D4" i="9"/>
  <c r="D5" i="8"/>
  <c r="D6" i="8"/>
  <c r="D7" i="8"/>
  <c r="D8" i="8"/>
  <c r="D9" i="8"/>
  <c r="D9" i="7"/>
  <c r="E9" i="7" s="1"/>
  <c r="D8" i="7"/>
  <c r="E8" i="7" s="1"/>
  <c r="D7" i="7"/>
  <c r="E7" i="7" s="1"/>
  <c r="D6" i="7"/>
  <c r="E6" i="7" s="1"/>
  <c r="D5" i="7"/>
  <c r="E5" i="7" s="1"/>
  <c r="D4" i="7"/>
  <c r="E4" i="7" s="1"/>
  <c r="D9" i="6"/>
  <c r="E9" i="6" s="1"/>
  <c r="D8" i="6"/>
  <c r="E8" i="6" s="1"/>
  <c r="D5" i="6"/>
  <c r="E5" i="6" s="1"/>
  <c r="D6" i="6"/>
  <c r="E6" i="6" s="1"/>
  <c r="D7" i="6"/>
  <c r="E7" i="6" s="1"/>
  <c r="D4" i="6"/>
  <c r="E4" i="6" s="1"/>
  <c r="D7" i="5"/>
  <c r="D4" i="5"/>
  <c r="D5" i="5"/>
  <c r="D6" i="5"/>
  <c r="D8" i="5"/>
  <c r="D3" i="5"/>
  <c r="E5" i="4"/>
  <c r="E6" i="4"/>
  <c r="E7" i="4"/>
  <c r="E4" i="4"/>
  <c r="D9" i="4"/>
  <c r="E9" i="4" s="1"/>
  <c r="D8" i="4"/>
  <c r="E8" i="4" s="1"/>
  <c r="D5" i="4"/>
  <c r="D6" i="4"/>
  <c r="D7" i="4"/>
  <c r="D4" i="4"/>
  <c r="D9" i="3"/>
  <c r="D8" i="3"/>
  <c r="D5" i="3"/>
  <c r="D6" i="3"/>
  <c r="D7" i="3"/>
  <c r="D4" i="3"/>
</calcChain>
</file>

<file path=xl/sharedStrings.xml><?xml version="1.0" encoding="utf-8"?>
<sst xmlns="http://schemas.openxmlformats.org/spreadsheetml/2006/main" count="55" uniqueCount="18">
  <si>
    <t>ProductID</t>
  </si>
  <si>
    <t>Product</t>
  </si>
  <si>
    <t>Price</t>
  </si>
  <si>
    <t>ProductA</t>
  </si>
  <si>
    <t>ProductB</t>
  </si>
  <si>
    <t>ProductC</t>
  </si>
  <si>
    <t>ProductD</t>
  </si>
  <si>
    <t>ProductE</t>
  </si>
  <si>
    <t>ProductF</t>
  </si>
  <si>
    <t>OrderID</t>
  </si>
  <si>
    <t>Quantity</t>
  </si>
  <si>
    <t>TotalPrice</t>
  </si>
  <si>
    <t>Product Name</t>
  </si>
  <si>
    <t>Existance</t>
  </si>
  <si>
    <t>Discounted Price</t>
  </si>
  <si>
    <t>Max Order Value</t>
  </si>
  <si>
    <t>Not Ordered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</si>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</sst>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0F06-C09C-4F25-842D-9FFBE837BFFB}">
  <dimension ref="A3:C9"/>
  <sheetViews>
    <sheetView zoomScale="107" zoomScaleNormal="107" workbookViewId="0">
      <selection activeCell="B5" sqref="B5"/>
    </sheetView>
  </sheetViews>
  <sheetFormatPr defaultRowHeight="14.4" x14ac:dyDescent="0.3"/>
  <sheetData>
    <row r="3" spans="1:3" x14ac:dyDescent="0.3">
      <c r="A3" s="1" t="s">
        <v>0</v>
      </c>
      <c r="B3" s="1" t="s">
        <v>1</v>
      </c>
      <c r="C3" s="1" t="s">
        <v>2</v>
      </c>
    </row>
    <row r="4" spans="1:3" x14ac:dyDescent="0.3">
      <c r="A4" s="1">
        <v>101</v>
      </c>
      <c r="B4" s="1" t="s">
        <v>3</v>
      </c>
      <c r="C4" s="1">
        <v>120</v>
      </c>
    </row>
    <row r="5" spans="1:3" x14ac:dyDescent="0.3">
      <c r="A5" s="1">
        <v>102</v>
      </c>
      <c r="B5" s="1" t="s">
        <v>4</v>
      </c>
      <c r="C5" s="1">
        <v>150</v>
      </c>
    </row>
    <row r="6" spans="1:3" x14ac:dyDescent="0.3">
      <c r="A6" s="1">
        <v>103</v>
      </c>
      <c r="B6" s="1" t="s">
        <v>5</v>
      </c>
      <c r="C6" s="1">
        <v>200</v>
      </c>
    </row>
    <row r="7" spans="1:3" x14ac:dyDescent="0.3">
      <c r="A7" s="1">
        <v>104</v>
      </c>
      <c r="B7" s="1" t="s">
        <v>6</v>
      </c>
      <c r="C7" s="1">
        <v>90</v>
      </c>
    </row>
    <row r="8" spans="1:3" x14ac:dyDescent="0.3">
      <c r="A8" s="1">
        <v>105</v>
      </c>
      <c r="B8" s="1" t="s">
        <v>7</v>
      </c>
      <c r="C8" s="1">
        <v>220</v>
      </c>
    </row>
    <row r="9" spans="1:3" x14ac:dyDescent="0.3">
      <c r="A9" s="1">
        <v>106</v>
      </c>
      <c r="B9" s="1" t="s">
        <v>8</v>
      </c>
      <c r="C9" s="1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A8C6-8D6E-4248-847B-A3D3D16EBCEC}">
  <dimension ref="A3:C10"/>
  <sheetViews>
    <sheetView zoomScale="157" workbookViewId="0">
      <selection activeCell="D6" sqref="D6"/>
    </sheetView>
  </sheetViews>
  <sheetFormatPr defaultRowHeight="14.4" x14ac:dyDescent="0.3"/>
  <sheetData>
    <row r="3" spans="1:3" x14ac:dyDescent="0.3">
      <c r="A3" s="1" t="s">
        <v>9</v>
      </c>
      <c r="B3" s="1" t="s">
        <v>0</v>
      </c>
      <c r="C3" s="1" t="s">
        <v>10</v>
      </c>
    </row>
    <row r="4" spans="1:3" x14ac:dyDescent="0.3">
      <c r="A4" s="1">
        <v>1</v>
      </c>
      <c r="B4" s="1">
        <v>101</v>
      </c>
      <c r="C4" s="1">
        <v>2</v>
      </c>
    </row>
    <row r="5" spans="1:3" x14ac:dyDescent="0.3">
      <c r="A5" s="1">
        <v>2</v>
      </c>
      <c r="B5" s="1">
        <v>103</v>
      </c>
      <c r="C5" s="1">
        <v>1</v>
      </c>
    </row>
    <row r="6" spans="1:3" x14ac:dyDescent="0.3">
      <c r="A6" s="1">
        <v>3</v>
      </c>
      <c r="B6" s="1">
        <v>105</v>
      </c>
      <c r="C6" s="1">
        <v>4</v>
      </c>
    </row>
    <row r="7" spans="1:3" x14ac:dyDescent="0.3">
      <c r="A7" s="1">
        <v>4</v>
      </c>
      <c r="B7" s="1">
        <v>106</v>
      </c>
      <c r="C7" s="1">
        <v>3</v>
      </c>
    </row>
    <row r="8" spans="1:3" x14ac:dyDescent="0.3">
      <c r="A8" s="1">
        <v>5</v>
      </c>
      <c r="B8" s="1">
        <v>102</v>
      </c>
      <c r="C8" s="1">
        <v>5</v>
      </c>
    </row>
    <row r="9" spans="1:3" x14ac:dyDescent="0.3">
      <c r="A9" s="1">
        <v>6</v>
      </c>
      <c r="B9" s="1">
        <v>104</v>
      </c>
      <c r="C9" s="1">
        <v>6</v>
      </c>
    </row>
    <row r="10" spans="1:3" x14ac:dyDescent="0.3">
      <c r="A10" s="2"/>
      <c r="B10" s="2"/>
      <c r="C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D1BD-DA40-46D0-81E2-CD14BEB40CA6}">
  <dimension ref="A3:D9"/>
  <sheetViews>
    <sheetView workbookViewId="0">
      <selection activeCell="C4" sqref="C4"/>
    </sheetView>
  </sheetViews>
  <sheetFormatPr defaultRowHeight="14.4" x14ac:dyDescent="0.3"/>
  <cols>
    <col min="4" max="4" width="12.6640625" bestFit="1" customWidth="1"/>
  </cols>
  <sheetData>
    <row r="3" spans="1:4" x14ac:dyDescent="0.3">
      <c r="A3" s="3" t="s">
        <v>9</v>
      </c>
      <c r="B3" s="3" t="s">
        <v>0</v>
      </c>
      <c r="C3" s="3" t="s">
        <v>10</v>
      </c>
      <c r="D3" s="3" t="s">
        <v>12</v>
      </c>
    </row>
    <row r="4" spans="1:4" x14ac:dyDescent="0.3">
      <c r="A4" s="3">
        <v>1</v>
      </c>
      <c r="B4" s="3">
        <v>101</v>
      </c>
      <c r="C4" s="3">
        <v>2</v>
      </c>
      <c r="D4" s="3" t="str">
        <f>VLOOKUP(B4,Products!A4:C9,2,FALSE)</f>
        <v>ProductA</v>
      </c>
    </row>
    <row r="5" spans="1:4" x14ac:dyDescent="0.3">
      <c r="A5" s="3">
        <v>2</v>
      </c>
      <c r="B5" s="3">
        <v>103</v>
      </c>
      <c r="C5" s="3">
        <v>1</v>
      </c>
      <c r="D5" s="3" t="str">
        <f>VLOOKUP(B5,Products!A5:C10,2,FALSE)</f>
        <v>ProductC</v>
      </c>
    </row>
    <row r="6" spans="1:4" x14ac:dyDescent="0.3">
      <c r="A6" s="3">
        <v>3</v>
      </c>
      <c r="B6" s="3">
        <v>105</v>
      </c>
      <c r="C6" s="3">
        <v>4</v>
      </c>
      <c r="D6" s="3" t="str">
        <f>VLOOKUP(B6,Products!A6:C11,2,FALSE)</f>
        <v>ProductE</v>
      </c>
    </row>
    <row r="7" spans="1:4" x14ac:dyDescent="0.3">
      <c r="A7" s="3">
        <v>4</v>
      </c>
      <c r="B7" s="3">
        <v>106</v>
      </c>
      <c r="C7" s="3">
        <v>3</v>
      </c>
      <c r="D7" s="3" t="str">
        <f>VLOOKUP(B7,Products!A7:C12,2,FALSE)</f>
        <v>ProductF</v>
      </c>
    </row>
    <row r="8" spans="1:4" x14ac:dyDescent="0.3">
      <c r="A8" s="3">
        <v>5</v>
      </c>
      <c r="B8" s="3">
        <v>102</v>
      </c>
      <c r="C8" s="3">
        <v>5</v>
      </c>
      <c r="D8" s="3" t="str">
        <f>VLOOKUP(B8,Products!A4:C9,2,FALSE)</f>
        <v>ProductB</v>
      </c>
    </row>
    <row r="9" spans="1:4" x14ac:dyDescent="0.3">
      <c r="A9" s="3">
        <v>6</v>
      </c>
      <c r="B9" s="3">
        <v>104</v>
      </c>
      <c r="C9" s="3">
        <v>6</v>
      </c>
      <c r="D9" s="3" t="str">
        <f>VLOOKUP(B9,Products!A5:C10,2,FALSE)</f>
        <v>ProductD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4D1D-17D6-4D36-A4D3-BC7F3DD338C3}">
  <dimension ref="A3:E9"/>
  <sheetViews>
    <sheetView workbookViewId="0">
      <selection activeCell="D5" sqref="D5"/>
    </sheetView>
  </sheetViews>
  <sheetFormatPr defaultRowHeight="14.4" x14ac:dyDescent="0.3"/>
  <sheetData>
    <row r="3" spans="1:5" x14ac:dyDescent="0.3">
      <c r="A3" s="3" t="s">
        <v>9</v>
      </c>
      <c r="B3" s="3" t="s">
        <v>0</v>
      </c>
      <c r="C3" s="3" t="s">
        <v>10</v>
      </c>
      <c r="D3" s="3" t="s">
        <v>2</v>
      </c>
      <c r="E3" s="3" t="s">
        <v>11</v>
      </c>
    </row>
    <row r="4" spans="1:5" x14ac:dyDescent="0.3">
      <c r="A4" s="3">
        <v>1</v>
      </c>
      <c r="B4" s="3">
        <v>101</v>
      </c>
      <c r="C4" s="3">
        <v>2</v>
      </c>
      <c r="D4" s="3">
        <f>VLOOKUP(B4,Products!A4:C9,3,0)</f>
        <v>120</v>
      </c>
      <c r="E4" s="3">
        <f>C4*D4</f>
        <v>240</v>
      </c>
    </row>
    <row r="5" spans="1:5" x14ac:dyDescent="0.3">
      <c r="A5" s="3">
        <v>2</v>
      </c>
      <c r="B5" s="3">
        <v>103</v>
      </c>
      <c r="C5" s="3">
        <v>1</v>
      </c>
      <c r="D5" s="3">
        <f>VLOOKUP(B5,Products!A5:C10,3,0)</f>
        <v>200</v>
      </c>
      <c r="E5" s="3">
        <f t="shared" ref="E5:E9" si="0">C5*D5</f>
        <v>200</v>
      </c>
    </row>
    <row r="6" spans="1:5" x14ac:dyDescent="0.3">
      <c r="A6" s="3">
        <v>3</v>
      </c>
      <c r="B6" s="3">
        <v>105</v>
      </c>
      <c r="C6" s="3">
        <v>4</v>
      </c>
      <c r="D6" s="3">
        <f>VLOOKUP(B6,Products!A6:C11,3,0)</f>
        <v>220</v>
      </c>
      <c r="E6" s="3">
        <f t="shared" si="0"/>
        <v>880</v>
      </c>
    </row>
    <row r="7" spans="1:5" x14ac:dyDescent="0.3">
      <c r="A7" s="3">
        <v>4</v>
      </c>
      <c r="B7" s="3">
        <v>106</v>
      </c>
      <c r="C7" s="3">
        <v>3</v>
      </c>
      <c r="D7" s="3">
        <f>VLOOKUP(B7,Products!A7:C12,3,0)</f>
        <v>130</v>
      </c>
      <c r="E7" s="3">
        <f t="shared" si="0"/>
        <v>390</v>
      </c>
    </row>
    <row r="8" spans="1:5" x14ac:dyDescent="0.3">
      <c r="A8" s="3">
        <v>5</v>
      </c>
      <c r="B8" s="3">
        <v>102</v>
      </c>
      <c r="C8" s="3">
        <v>5</v>
      </c>
      <c r="D8" s="3">
        <f>VLOOKUP(B8,Products!A4:C9,3,0)</f>
        <v>150</v>
      </c>
      <c r="E8" s="3">
        <f t="shared" si="0"/>
        <v>750</v>
      </c>
    </row>
    <row r="9" spans="1:5" x14ac:dyDescent="0.3">
      <c r="A9" s="3">
        <v>6</v>
      </c>
      <c r="B9" s="3">
        <v>104</v>
      </c>
      <c r="C9" s="3">
        <v>6</v>
      </c>
      <c r="D9" s="3">
        <f>VLOOKUP(B9,Products!A5:C10,3,0)</f>
        <v>90</v>
      </c>
      <c r="E9" s="3">
        <f t="shared" si="0"/>
        <v>540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FC71-77E0-4926-B1F3-7C8A9870BFF9}">
  <dimension ref="A2:D8"/>
  <sheetViews>
    <sheetView workbookViewId="0">
      <selection activeCell="F12" sqref="F12"/>
    </sheetView>
  </sheetViews>
  <sheetFormatPr defaultRowHeight="14.4" x14ac:dyDescent="0.3"/>
  <cols>
    <col min="4" max="4" width="11.21875" bestFit="1" customWidth="1"/>
  </cols>
  <sheetData>
    <row r="2" spans="1:4" x14ac:dyDescent="0.3">
      <c r="A2" s="3" t="s">
        <v>9</v>
      </c>
      <c r="B2" s="3" t="s">
        <v>0</v>
      </c>
      <c r="C2" s="3" t="s">
        <v>10</v>
      </c>
      <c r="D2" s="3" t="s">
        <v>13</v>
      </c>
    </row>
    <row r="3" spans="1:4" x14ac:dyDescent="0.3">
      <c r="A3" s="3">
        <v>1</v>
      </c>
      <c r="B3" s="3">
        <v>101</v>
      </c>
      <c r="C3" s="3">
        <v>2</v>
      </c>
      <c r="D3" s="3" t="str">
        <f>IF(ISNA(VLOOKUP(B3,Products!A4:C9,1,0)),"NOT FOUND","OK")</f>
        <v>OK</v>
      </c>
    </row>
    <row r="4" spans="1:4" x14ac:dyDescent="0.3">
      <c r="A4" s="3">
        <v>2</v>
      </c>
      <c r="B4" s="3">
        <v>103</v>
      </c>
      <c r="C4" s="3">
        <v>1</v>
      </c>
      <c r="D4" s="3" t="str">
        <f>IF(ISNA(VLOOKUP(B4,Products!A5:C10,1,0)),"NOT FOUND","OK")</f>
        <v>OK</v>
      </c>
    </row>
    <row r="5" spans="1:4" x14ac:dyDescent="0.3">
      <c r="A5" s="3">
        <v>3</v>
      </c>
      <c r="B5" s="3">
        <v>105</v>
      </c>
      <c r="C5" s="3">
        <v>4</v>
      </c>
      <c r="D5" s="3" t="str">
        <f>IF(ISNA(VLOOKUP(B5,Products!A6:C11,1,0)),"NOT FOUND","OK")</f>
        <v>OK</v>
      </c>
    </row>
    <row r="6" spans="1:4" x14ac:dyDescent="0.3">
      <c r="A6" s="3">
        <v>4</v>
      </c>
      <c r="B6" s="3">
        <v>106</v>
      </c>
      <c r="C6" s="3">
        <v>3</v>
      </c>
      <c r="D6" s="3" t="str">
        <f>IF(ISNA(VLOOKUP(B6,Products!A7:C12,1,0)),"NOT FOUND","OK")</f>
        <v>OK</v>
      </c>
    </row>
    <row r="7" spans="1:4" x14ac:dyDescent="0.3">
      <c r="A7" s="3">
        <v>5</v>
      </c>
      <c r="B7" s="3">
        <v>102</v>
      </c>
      <c r="C7" s="3">
        <v>5</v>
      </c>
      <c r="D7" s="3" t="str">
        <f>IF(ISNA(VLOOKUP(B7,Products!A8:C13,1,0)),"NOT FOUND","OK")</f>
        <v>NOT FOUND</v>
      </c>
    </row>
    <row r="8" spans="1:4" x14ac:dyDescent="0.3">
      <c r="A8" s="3">
        <v>6</v>
      </c>
      <c r="B8" s="3">
        <v>104</v>
      </c>
      <c r="C8" s="3">
        <v>6</v>
      </c>
      <c r="D8" s="3" t="str">
        <f>IF(ISNA(VLOOKUP(B8,Products!A9:C14,1,0)),"NOT FOUND","OK")</f>
        <v>NOT FOUND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6A25-0965-4239-9D0B-DAFAFCBB43CC}">
  <dimension ref="A3:E9"/>
  <sheetViews>
    <sheetView workbookViewId="0">
      <selection activeCell="I13" sqref="I13"/>
    </sheetView>
  </sheetViews>
  <sheetFormatPr defaultRowHeight="14.4" x14ac:dyDescent="0.3"/>
  <cols>
    <col min="5" max="5" width="14.6640625" bestFit="1" customWidth="1"/>
  </cols>
  <sheetData>
    <row r="3" spans="1:5" x14ac:dyDescent="0.3">
      <c r="A3" s="3" t="s">
        <v>9</v>
      </c>
      <c r="B3" s="3" t="s">
        <v>0</v>
      </c>
      <c r="C3" s="3" t="s">
        <v>10</v>
      </c>
      <c r="D3" s="3" t="s">
        <v>2</v>
      </c>
      <c r="E3" s="3" t="s">
        <v>14</v>
      </c>
    </row>
    <row r="4" spans="1:5" x14ac:dyDescent="0.3">
      <c r="A4" s="3">
        <v>1</v>
      </c>
      <c r="B4" s="3">
        <v>101</v>
      </c>
      <c r="C4" s="3">
        <v>2</v>
      </c>
      <c r="D4" s="3">
        <f>VLOOKUP(B4,Products!A4:C9,3,0)</f>
        <v>120</v>
      </c>
      <c r="E4" s="3">
        <f>D4-(D4*10%)</f>
        <v>108</v>
      </c>
    </row>
    <row r="5" spans="1:5" x14ac:dyDescent="0.3">
      <c r="A5" s="3">
        <v>2</v>
      </c>
      <c r="B5" s="3">
        <v>103</v>
      </c>
      <c r="C5" s="3">
        <v>1</v>
      </c>
      <c r="D5" s="3">
        <f>VLOOKUP(B5,Products!A5:C10,3,0)</f>
        <v>200</v>
      </c>
      <c r="E5" s="3">
        <f t="shared" ref="E5:E9" si="0">D5-(D5*10%)</f>
        <v>180</v>
      </c>
    </row>
    <row r="6" spans="1:5" x14ac:dyDescent="0.3">
      <c r="A6" s="3">
        <v>3</v>
      </c>
      <c r="B6" s="3">
        <v>105</v>
      </c>
      <c r="C6" s="3">
        <v>4</v>
      </c>
      <c r="D6" s="3">
        <f>VLOOKUP(B6,Products!A6:C11,3,0)</f>
        <v>220</v>
      </c>
      <c r="E6" s="3">
        <f t="shared" si="0"/>
        <v>198</v>
      </c>
    </row>
    <row r="7" spans="1:5" x14ac:dyDescent="0.3">
      <c r="A7" s="3">
        <v>4</v>
      </c>
      <c r="B7" s="3">
        <v>106</v>
      </c>
      <c r="C7" s="3">
        <v>3</v>
      </c>
      <c r="D7" s="3">
        <f>VLOOKUP(B7,Products!A7:C12,3,0)</f>
        <v>130</v>
      </c>
      <c r="E7" s="3">
        <f t="shared" si="0"/>
        <v>117</v>
      </c>
    </row>
    <row r="8" spans="1:5" x14ac:dyDescent="0.3">
      <c r="A8" s="3">
        <v>5</v>
      </c>
      <c r="B8" s="3">
        <v>102</v>
      </c>
      <c r="C8" s="3">
        <v>5</v>
      </c>
      <c r="D8" s="3">
        <f>VLOOKUP(B8,Products!A4:C9,3,FALSE)</f>
        <v>150</v>
      </c>
      <c r="E8" s="3">
        <f t="shared" si="0"/>
        <v>135</v>
      </c>
    </row>
    <row r="9" spans="1:5" x14ac:dyDescent="0.3">
      <c r="A9" s="3">
        <v>6</v>
      </c>
      <c r="B9" s="3">
        <v>104</v>
      </c>
      <c r="C9" s="3">
        <v>6</v>
      </c>
      <c r="D9" s="3">
        <f>VLOOKUP(B9,Products!A5:C10,3,FALSE)</f>
        <v>90</v>
      </c>
      <c r="E9" s="3">
        <f t="shared" si="0"/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88B1-AA84-47E8-8187-0DAB8626EEAD}">
  <dimension ref="A3:E9"/>
  <sheetViews>
    <sheetView workbookViewId="0">
      <selection activeCell="E4" sqref="E4"/>
    </sheetView>
  </sheetViews>
  <sheetFormatPr defaultRowHeight="14.4" x14ac:dyDescent="0.3"/>
  <cols>
    <col min="5" max="5" width="14.77734375" bestFit="1" customWidth="1"/>
  </cols>
  <sheetData>
    <row r="3" spans="1:5" x14ac:dyDescent="0.3">
      <c r="A3" s="3" t="s">
        <v>9</v>
      </c>
      <c r="B3" s="3" t="s">
        <v>0</v>
      </c>
      <c r="C3" s="3" t="s">
        <v>10</v>
      </c>
      <c r="D3" s="3" t="s">
        <v>2</v>
      </c>
      <c r="E3" s="3" t="s">
        <v>15</v>
      </c>
    </row>
    <row r="4" spans="1:5" x14ac:dyDescent="0.3">
      <c r="A4" s="3">
        <v>1</v>
      </c>
      <c r="B4" s="3">
        <v>101</v>
      </c>
      <c r="C4" s="3">
        <v>2</v>
      </c>
      <c r="D4" s="3">
        <f>VLOOKUP(B4,Products!A4:C9,3,0)</f>
        <v>120</v>
      </c>
      <c r="E4" s="3">
        <f>MAX(C4*D4)</f>
        <v>240</v>
      </c>
    </row>
    <row r="5" spans="1:5" x14ac:dyDescent="0.3">
      <c r="A5" s="3">
        <v>2</v>
      </c>
      <c r="B5" s="3">
        <v>103</v>
      </c>
      <c r="C5" s="3">
        <v>1</v>
      </c>
      <c r="D5" s="3">
        <f>VLOOKUP(B5,Products!A5:C10,3,0)</f>
        <v>200</v>
      </c>
      <c r="E5" s="3">
        <f t="shared" ref="E5:E9" si="0">MAX(C5*D5)</f>
        <v>200</v>
      </c>
    </row>
    <row r="6" spans="1:5" x14ac:dyDescent="0.3">
      <c r="A6" s="3">
        <v>3</v>
      </c>
      <c r="B6" s="3">
        <v>105</v>
      </c>
      <c r="C6" s="3">
        <v>4</v>
      </c>
      <c r="D6" s="3">
        <f>VLOOKUP(B6,Products!A6:C11,3,0)</f>
        <v>220</v>
      </c>
      <c r="E6" s="3">
        <f t="shared" si="0"/>
        <v>880</v>
      </c>
    </row>
    <row r="7" spans="1:5" x14ac:dyDescent="0.3">
      <c r="A7" s="3">
        <v>4</v>
      </c>
      <c r="B7" s="3">
        <v>106</v>
      </c>
      <c r="C7" s="3">
        <v>3</v>
      </c>
      <c r="D7" s="3">
        <f>VLOOKUP(B7,Products!A7:C12,3,0)</f>
        <v>130</v>
      </c>
      <c r="E7" s="3">
        <f t="shared" si="0"/>
        <v>390</v>
      </c>
    </row>
    <row r="8" spans="1:5" x14ac:dyDescent="0.3">
      <c r="A8" s="3">
        <v>5</v>
      </c>
      <c r="B8" s="3">
        <v>102</v>
      </c>
      <c r="C8" s="3">
        <v>5</v>
      </c>
      <c r="D8" s="3">
        <f>VLOOKUP(B8,Products!A4:C9,3,FALSE)</f>
        <v>150</v>
      </c>
      <c r="E8" s="3">
        <f t="shared" si="0"/>
        <v>750</v>
      </c>
    </row>
    <row r="9" spans="1:5" x14ac:dyDescent="0.3">
      <c r="A9" s="3">
        <v>6</v>
      </c>
      <c r="B9" s="3">
        <v>104</v>
      </c>
      <c r="C9" s="3">
        <v>6</v>
      </c>
      <c r="D9" s="3">
        <f>VLOOKUP(B9,Products!A5:C10,3,FALSE)</f>
        <v>90</v>
      </c>
      <c r="E9" s="3">
        <f t="shared" si="0"/>
        <v>540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65A0-E273-43BB-BB7F-58C773E49280}">
  <dimension ref="A3:D9"/>
  <sheetViews>
    <sheetView workbookViewId="0">
      <selection activeCell="D4" sqref="D4"/>
    </sheetView>
  </sheetViews>
  <sheetFormatPr defaultRowHeight="14.4" x14ac:dyDescent="0.3"/>
  <cols>
    <col min="4" max="4" width="13.21875" bestFit="1" customWidth="1"/>
  </cols>
  <sheetData>
    <row r="3" spans="1:4" x14ac:dyDescent="0.3">
      <c r="A3" s="3" t="s">
        <v>0</v>
      </c>
      <c r="B3" s="3" t="s">
        <v>1</v>
      </c>
      <c r="C3" s="3" t="s">
        <v>2</v>
      </c>
      <c r="D3" s="3" t="s">
        <v>16</v>
      </c>
    </row>
    <row r="4" spans="1:4" x14ac:dyDescent="0.3">
      <c r="A4" s="3">
        <v>101</v>
      </c>
      <c r="B4" s="3" t="s">
        <v>3</v>
      </c>
      <c r="C4" s="3">
        <v>120</v>
      </c>
      <c r="D4" s="3" t="str">
        <f>IF(ISNA(VLOOKUP(A4,Orders!A4:C9,1,0)),"NOT ORDERED","ORDERED")</f>
        <v>NOT ORDERED</v>
      </c>
    </row>
    <row r="5" spans="1:4" x14ac:dyDescent="0.3">
      <c r="A5" s="3">
        <v>102</v>
      </c>
      <c r="B5" s="3" t="s">
        <v>4</v>
      </c>
      <c r="C5" s="3">
        <v>150</v>
      </c>
      <c r="D5" s="3" t="str">
        <f>IF(ISNA(VLOOKUP(A5,Orders!A5:C10,1,0)),"NOT ORDERED","ORDERED")</f>
        <v>NOT ORDERED</v>
      </c>
    </row>
    <row r="6" spans="1:4" x14ac:dyDescent="0.3">
      <c r="A6" s="3">
        <v>103</v>
      </c>
      <c r="B6" s="3" t="s">
        <v>5</v>
      </c>
      <c r="C6" s="3">
        <v>200</v>
      </c>
      <c r="D6" s="3" t="str">
        <f>IF(ISNA(VLOOKUP(A6,Orders!A6:C11,1,0)),"NOT ORDERED","ORDERED")</f>
        <v>NOT ORDERED</v>
      </c>
    </row>
    <row r="7" spans="1:4" x14ac:dyDescent="0.3">
      <c r="A7" s="3">
        <v>104</v>
      </c>
      <c r="B7" s="3" t="s">
        <v>6</v>
      </c>
      <c r="C7" s="3">
        <v>90</v>
      </c>
      <c r="D7" s="3" t="str">
        <f>IF(ISNA(VLOOKUP(A7,Orders!A7:C12,1,0)),"NOT ORDERED","ORDERED")</f>
        <v>NOT ORDERED</v>
      </c>
    </row>
    <row r="8" spans="1:4" x14ac:dyDescent="0.3">
      <c r="A8" s="3">
        <v>105</v>
      </c>
      <c r="B8" s="3" t="s">
        <v>7</v>
      </c>
      <c r="C8" s="3">
        <v>220</v>
      </c>
      <c r="D8" s="3" t="str">
        <f>IF(ISNA(VLOOKUP(A8,Orders!A8:C13,1,0)),"NOT ORDERED","ORDERED")</f>
        <v>NOT ORDERED</v>
      </c>
    </row>
    <row r="9" spans="1:4" x14ac:dyDescent="0.3">
      <c r="A9" s="3">
        <v>106</v>
      </c>
      <c r="B9" s="3" t="s">
        <v>8</v>
      </c>
      <c r="C9" s="3">
        <v>130</v>
      </c>
      <c r="D9" s="3" t="str">
        <f>IF(ISNA(VLOOKUP(A9,Orders!A9:C14,1,0)),"NOT ORDERED","ORDERED")</f>
        <v>NOT ORDERED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AB2CB-76BE-4C41-978C-1772809B816E}">
  <dimension ref="A3:D9"/>
  <sheetViews>
    <sheetView tabSelected="1" workbookViewId="0">
      <selection activeCell="G10" sqref="G10"/>
    </sheetView>
  </sheetViews>
  <sheetFormatPr defaultRowHeight="14.4" x14ac:dyDescent="0.3"/>
  <cols>
    <col min="4" max="4" width="16.6640625" bestFit="1" customWidth="1"/>
  </cols>
  <sheetData>
    <row r="3" spans="1:4" x14ac:dyDescent="0.3">
      <c r="A3" s="3" t="s">
        <v>0</v>
      </c>
      <c r="B3" s="3" t="s">
        <v>1</v>
      </c>
      <c r="C3" s="3" t="s">
        <v>2</v>
      </c>
      <c r="D3" s="3" t="s">
        <v>17</v>
      </c>
    </row>
    <row r="4" spans="1:4" x14ac:dyDescent="0.3">
      <c r="A4" s="3">
        <v>101</v>
      </c>
      <c r="B4" s="3" t="s">
        <v>3</v>
      </c>
      <c r="C4" s="3">
        <v>120</v>
      </c>
      <c r="D4" s="3">
        <f>SUMIF(Orders!B4:B9,A4,'7TH'!C4:C9)</f>
        <v>120</v>
      </c>
    </row>
    <row r="5" spans="1:4" x14ac:dyDescent="0.3">
      <c r="A5" s="3">
        <v>102</v>
      </c>
      <c r="B5" s="3" t="s">
        <v>4</v>
      </c>
      <c r="C5" s="3">
        <v>150</v>
      </c>
      <c r="D5" s="3">
        <f>SUMIF(Orders!B5:B10,A5,'7TH'!C5:C10)</f>
        <v>220</v>
      </c>
    </row>
    <row r="6" spans="1:4" x14ac:dyDescent="0.3">
      <c r="A6" s="3">
        <v>103</v>
      </c>
      <c r="B6" s="3" t="s">
        <v>5</v>
      </c>
      <c r="C6" s="3">
        <v>200</v>
      </c>
      <c r="D6" s="3">
        <f>SUMIF(Orders!B6:B11,A6,'7TH'!C6:C11)</f>
        <v>0</v>
      </c>
    </row>
    <row r="7" spans="1:4" x14ac:dyDescent="0.3">
      <c r="A7" s="3">
        <v>104</v>
      </c>
      <c r="B7" s="3" t="s">
        <v>6</v>
      </c>
      <c r="C7" s="3">
        <v>90</v>
      </c>
      <c r="D7" s="3">
        <f>SUMIF(Orders!B7:B12,A7,'7TH'!C7:C12)</f>
        <v>130</v>
      </c>
    </row>
    <row r="8" spans="1:4" x14ac:dyDescent="0.3">
      <c r="A8" s="3">
        <v>105</v>
      </c>
      <c r="B8" s="3" t="s">
        <v>7</v>
      </c>
      <c r="C8" s="3">
        <v>220</v>
      </c>
      <c r="D8" s="3">
        <f>SUMIF(Orders!B8:B13,A8,'7TH'!C8:C13)</f>
        <v>0</v>
      </c>
    </row>
    <row r="9" spans="1:4" x14ac:dyDescent="0.3">
      <c r="A9" s="3">
        <v>106</v>
      </c>
      <c r="B9" s="3" t="s">
        <v>8</v>
      </c>
      <c r="C9" s="3">
        <v>130</v>
      </c>
      <c r="D9" s="3">
        <f>SUMIF(Orders!B9:B14,A9,'7TH'!C9:C14)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Products</vt:lpstr>
      <vt:lpstr>Orders</vt:lpstr>
      <vt:lpstr>1ST</vt:lpstr>
      <vt:lpstr>2nd</vt:lpstr>
      <vt:lpstr>3RD</vt:lpstr>
      <vt:lpstr>4TH</vt:lpstr>
      <vt:lpstr>5TH</vt:lpstr>
      <vt:lpstr>6TH</vt:lpstr>
      <vt:lpstr>7TH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jhilik sarkar</dc:creator>
  <cp:lastModifiedBy>Sneha Mondal</cp:lastModifiedBy>
  <dcterms:created xsi:type="dcterms:W3CDTF">2025-11-28T17:30:08Z</dcterms:created>
  <dcterms:modified xsi:type="dcterms:W3CDTF">2025-11-28T20:52:48Z</dcterms:modified>
</cp:coreProperties>
</file>