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AE8E860D-D8F2-4DCE-9FF8-E5E00517A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 (2)" sheetId="3" r:id="rId1"/>
    <sheet name="bike_buyers (4)" sheetId="5" r:id="rId2"/>
    <sheet name="bike_buyers" sheetId="1" r:id="rId3"/>
    <sheet name="bike_buyers (5)" sheetId="6" r:id="rId4"/>
    <sheet name="bike_buyers (6)" sheetId="7" r:id="rId5"/>
    <sheet name="bike_buyers (7)" sheetId="8" r:id="rId6"/>
    <sheet name="Sheet1" sheetId="2" r:id="rId7"/>
  </sheets>
  <definedNames>
    <definedName name="_xlnm._FilterDatabase" localSheetId="2" hidden="1">bike_buyers!$A$1:$M$1001</definedName>
    <definedName name="_xlnm._FilterDatabase" localSheetId="0" hidden="1">'bike_buyers (2)'!$A$1:$M$1001</definedName>
    <definedName name="_xlnm._FilterDatabase" localSheetId="1" hidden="1">'bike_buyers (4)'!$A$1:$M$1001</definedName>
    <definedName name="_xlnm._FilterDatabase" localSheetId="3" hidden="1">'bike_buyers (5)'!$A$1:$M$1001</definedName>
    <definedName name="_xlnm._FilterDatabase" localSheetId="4" hidden="1">'bike_buyers (6)'!$A$1:$M$1001</definedName>
    <definedName name="_xlnm._FilterDatabase" localSheetId="5" hidden="1">'bike_buyers (7)'!$A$1:$M$1001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4" i="7" l="1"/>
  <c r="AL15" i="7"/>
  <c r="AL16" i="7"/>
  <c r="AL17" i="7"/>
  <c r="AL18" i="7"/>
  <c r="AL19" i="7"/>
  <c r="AL20" i="7"/>
  <c r="AL21" i="7"/>
  <c r="AL22" i="7"/>
  <c r="AL23" i="7"/>
  <c r="AL24" i="7"/>
  <c r="AL25" i="7"/>
  <c r="AL26" i="7"/>
  <c r="AL3" i="7"/>
  <c r="AL4" i="7"/>
  <c r="AL5" i="7"/>
  <c r="AL6" i="7"/>
  <c r="AL7" i="7"/>
  <c r="AL8" i="7"/>
  <c r="AL9" i="7"/>
  <c r="AL10" i="7"/>
  <c r="AL11" i="7"/>
  <c r="AL12" i="7"/>
  <c r="AL13" i="7"/>
  <c r="AL2" i="7"/>
  <c r="AK2" i="7"/>
  <c r="AJ3" i="7"/>
  <c r="AI4" i="7"/>
  <c r="AI5" i="7"/>
  <c r="AI6" i="7"/>
  <c r="AI7" i="7"/>
  <c r="AI8" i="7"/>
  <c r="AI9" i="7"/>
  <c r="AI2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3" i="7"/>
  <c r="AH2" i="7"/>
  <c r="AG3" i="7"/>
  <c r="AG4" i="7"/>
  <c r="AG5" i="7"/>
  <c r="AG6" i="7"/>
  <c r="AG2" i="7"/>
  <c r="AF3" i="7"/>
  <c r="AF4" i="7"/>
  <c r="AF5" i="7"/>
  <c r="AF2" i="7"/>
  <c r="AE19" i="7"/>
  <c r="AE20" i="7"/>
  <c r="AE21" i="7"/>
  <c r="AE22" i="7"/>
  <c r="AE23" i="7"/>
  <c r="AE24" i="7"/>
  <c r="AE25" i="7"/>
  <c r="AE26" i="7"/>
  <c r="AE27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3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B2" i="7"/>
  <c r="AA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" i="7"/>
  <c r="X2" i="7"/>
  <c r="W2" i="7"/>
  <c r="V2" i="7"/>
  <c r="U2" i="7"/>
  <c r="T2" i="7"/>
  <c r="S2" i="7"/>
  <c r="R2" i="7"/>
  <c r="Q2" i="7"/>
  <c r="P2" i="7"/>
  <c r="O2" i="7"/>
  <c r="N2" i="7"/>
</calcChain>
</file>

<file path=xl/sharedStrings.xml><?xml version="1.0" encoding="utf-8"?>
<sst xmlns="http://schemas.openxmlformats.org/spreadsheetml/2006/main" count="49346" uniqueCount="55">
  <si>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</si>
  <si>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</si>
  <si>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</si>
  <si>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</si>
  <si>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</si>
  <si>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</si>
  <si>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</si>
  <si>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</si>
  <si>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</si>
  <si>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</si>
  <si>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</si>
  <si>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</si>
  <si>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</si>
  <si>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</si>
  <si>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</si>
  <si>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</si>
  <si>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</si>
  <si>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</si>
  <si>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</si>
  <si>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</si>
  <si>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</si>
  <si>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</si>
  <si>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</si>
  <si>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</si>
  <si>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</si>
  <si>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</si>
  <si>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</si>
  <si>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</si>
  <si>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</si>
  <si>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</si>
  <si>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</si>
  <si>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</si>
  <si>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</si>
  <si>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</si>
  <si>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</si>
  <si>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</si>
  <si>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SUM</t>
  </si>
  <si>
    <t>AVERAGE</t>
  </si>
  <si>
    <t>MAX</t>
  </si>
  <si>
    <t>MIN</t>
  </si>
  <si>
    <t>COUNT</t>
  </si>
  <si>
    <t>SUMIF</t>
  </si>
  <si>
    <t>COUNTIF</t>
  </si>
  <si>
    <t>COUNTIFS</t>
  </si>
  <si>
    <t>AVERAGEIF</t>
  </si>
  <si>
    <t>CONCAT</t>
  </si>
  <si>
    <t>CONCATENATE</t>
  </si>
  <si>
    <t>TRIM</t>
  </si>
  <si>
    <t>UPPER</t>
  </si>
  <si>
    <t>LOWER</t>
  </si>
  <si>
    <t>PROPER</t>
  </si>
  <si>
    <t>Income &gt; 50000</t>
  </si>
  <si>
    <t>Nested IF</t>
  </si>
  <si>
    <t>Find Income Using ID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</si>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</sst>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b/>
        <i/>
        <color theme="5" tint="-0.24994659260841701"/>
      </font>
    </dxf>
    <dxf>
      <font>
        <b/>
        <i/>
        <color theme="4" tint="-0.24994659260841701"/>
      </font>
    </dxf>
    <dxf>
      <font>
        <b/>
        <i val="0"/>
        <color theme="4" tint="-0.2499465926084170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10B9-C269-4011-AB40-A7CCFC447D9D}">
  <dimension ref="A1:M1027"/>
  <sheetViews>
    <sheetView tabSelected="1" topLeftCell="A66" workbookViewId="0">
      <selection activeCell="H1033" sqref="H1033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conditionalFormatting sqref="F1:F1027">
    <cfRule type="containsText" dxfId="4" priority="1" operator="containsText" text="Partial College">
      <formula>NOT(ISERROR(SEARCH("Partial College",F1)))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6CF9-ED3B-4166-9DF3-53B1E1CD065A}">
  <dimension ref="A1:M1027"/>
  <sheetViews>
    <sheetView topLeftCell="A1005" workbookViewId="0">
      <selection activeCell="I2" sqref="I2:I1027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conditionalFormatting sqref="B2:B1027">
    <cfRule type="expression" dxfId="3" priority="2">
      <formula>$B2="S"</formula>
    </cfRule>
  </conditionalFormatting>
  <conditionalFormatting sqref="I2:I10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M1027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conditionalFormatting sqref="A1:M1027">
    <cfRule type="expression" dxfId="2" priority="1">
      <formula>AND($B2="M",$K2="Europe")</formula>
    </cfRule>
  </conditionalFormatting>
  <conditionalFormatting sqref="N5">
    <cfRule type="expression" dxfId="1" priority="2">
      <formula>AND($B2="M",$K2="Europe")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BFDB-F340-40A0-BE90-82734BC82D81}">
  <dimension ref="A1:M1027"/>
  <sheetViews>
    <sheetView workbookViewId="0">
      <selection activeCell="N1010" sqref="N1010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conditionalFormatting sqref="H1:H1027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38AC-4815-4AE8-BACA-736DD31F46CF}">
  <dimension ref="A1:AL1027"/>
  <sheetViews>
    <sheetView topLeftCell="AC1" workbookViewId="0">
      <selection activeCell="AM2" sqref="AM2"/>
    </sheetView>
  </sheetViews>
  <sheetFormatPr defaultColWidth="11.88671875" defaultRowHeight="14.4" x14ac:dyDescent="0.3"/>
  <cols>
    <col min="13" max="13" width="15.44140625" customWidth="1"/>
    <col min="14" max="14" width="14" bestFit="1" customWidth="1"/>
    <col min="23" max="23" width="16.44140625" bestFit="1" customWidth="1"/>
    <col min="24" max="24" width="19.44140625" bestFit="1" customWidth="1"/>
    <col min="26" max="26" width="15.44140625" bestFit="1" customWidth="1"/>
    <col min="27" max="27" width="15.44140625" customWidth="1"/>
    <col min="28" max="28" width="16.33203125" customWidth="1"/>
    <col min="29" max="29" width="13.5546875" customWidth="1"/>
    <col min="32" max="32" width="17.441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43</v>
      </c>
      <c r="AF1" t="s">
        <v>53</v>
      </c>
      <c r="AG1" t="s">
        <v>54</v>
      </c>
    </row>
    <row r="2" spans="1:38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  <c r="N2" s="1">
        <f>SUM(D2:D1027)</f>
        <v>57670000</v>
      </c>
      <c r="O2" s="1">
        <f>AVERAGE(D2:D1027)</f>
        <v>56208.576998050681</v>
      </c>
      <c r="P2" s="1">
        <f>MAX(D2:D1027)</f>
        <v>170000</v>
      </c>
      <c r="Q2" s="1">
        <f>MIN(D2:D1027)</f>
        <v>10000</v>
      </c>
      <c r="R2">
        <f>COUNT(A2:A1027)</f>
        <v>1026</v>
      </c>
      <c r="S2">
        <f>SUMIF(M2:M1027,"Yes",D2:D1027)</f>
        <v>28450000</v>
      </c>
      <c r="T2">
        <f>COUNTIF(B2:B1027,"M")</f>
        <v>549</v>
      </c>
      <c r="U2">
        <f>COUNTIFS(B2:B1027,"M", C2:C1027,"M", M2:M1027,"Yes")</f>
        <v>126</v>
      </c>
      <c r="V2">
        <f>AVERAGEIF(M2:M1027,"Yes",D2:D1027)</f>
        <v>57474.747474747477</v>
      </c>
      <c r="W2" t="str">
        <f>_xlfn.CONCAT(K2," - ",F2)</f>
        <v>Europe - Bachelors</v>
      </c>
      <c r="X2" t="str">
        <f>CONCATENATE(A2," - ",G2)</f>
        <v>12496 - Skilled Manual</v>
      </c>
      <c r="Y2" t="str">
        <f>TRIM(K2)</f>
        <v>Europe</v>
      </c>
      <c r="Z2" t="str">
        <f>UPPER(G2)</f>
        <v>SKILLED MANUAL</v>
      </c>
      <c r="AA2" t="str">
        <f>LOWER(F2)</f>
        <v>bachelors</v>
      </c>
      <c r="AB2" t="str">
        <f>PROPER(F2)</f>
        <v>Bachelors</v>
      </c>
      <c r="AC2" t="str">
        <f>IF(D2&gt;50000,"High Income","Low Income")</f>
        <v>Low Income</v>
      </c>
      <c r="AD2" t="str">
        <f>IF(D2&gt;70000,"Very High",IF(D2&gt;70000,"Very High",IF(D2&gt;=40000,"Medium","Low")))</f>
        <v>Medium</v>
      </c>
      <c r="AF2" t="str">
        <f>VLOOKUP(24381, A2:E1000, 3, FALSE)</f>
        <v>M</v>
      </c>
      <c r="AG2">
        <f>VLOOKUP(25597, A2:E1000, 5, FALSE)</f>
        <v>0</v>
      </c>
      <c r="AH2" t="str">
        <f>VLOOKUP(12496, A2:E1000, 2, FALSE)</f>
        <v>M</v>
      </c>
      <c r="AI2" t="str">
        <f>IF(VLOOKUP(A2,$A2:$E1000,5,FALSE)="Yes",
   "Customer Bought Bike",
   "Did Not Buy")</f>
        <v>Did Not Buy</v>
      </c>
      <c r="AK2" t="str">
        <f>VLOOKUP(25597, A2:E1000, 4, FALSE) &amp; " - " &amp; VLOOKUP(25597, A2:E1000, 5, FALSE)</f>
        <v>30000 - 0</v>
      </c>
      <c r="AL2" t="str">
        <f>IF(VLOOKUP(A2,$A$2:$E$1000,4,FALSE) &gt; 60000,"High Income","Normal")</f>
        <v>Normal</v>
      </c>
    </row>
    <row r="3" spans="1:38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  <c r="W3" t="str">
        <f t="shared" ref="W3:W26" si="0">_xlfn.CONCAT(K3," - ",F3)</f>
        <v>Europe - Partial College</v>
      </c>
      <c r="X3" t="str">
        <f t="shared" ref="X3:X27" si="1">CONCATENATE(A3," - ",G3)</f>
        <v>24107 - Clerical</v>
      </c>
      <c r="Y3" t="str">
        <f t="shared" ref="Y3:Y27" si="2">TRIM(K3)</f>
        <v>Europe</v>
      </c>
      <c r="Z3" t="str">
        <f t="shared" ref="Z3:Z27" si="3">UPPER(G3)</f>
        <v>CLERICAL</v>
      </c>
      <c r="AA3" t="str">
        <f t="shared" ref="AA3:AA27" si="4">LOWER(F3)</f>
        <v>partial college</v>
      </c>
      <c r="AB3" t="str">
        <f t="shared" ref="AB3:AB27" si="5">PROPER(F3)</f>
        <v>Partial College</v>
      </c>
      <c r="AC3" t="str">
        <f t="shared" ref="AC3:AC27" si="6">IF(D3&gt;50000,"High Income","Low Income")</f>
        <v>Low Income</v>
      </c>
      <c r="AD3" t="str">
        <f t="shared" ref="AD3:AD27" si="7">IF(D3&gt;70000,"Very High",IF(D3&gt;70000,"Very High",IF(D3&gt;=40000,"Medium","Low")))</f>
        <v>Low</v>
      </c>
      <c r="AE3">
        <f>COUNTIFS(I2:I1027,"&gt;=2", M2:M1027,"Yes")</f>
        <v>183</v>
      </c>
      <c r="AF3" t="str">
        <f t="shared" ref="AF3:AF5" si="8">VLOOKUP(24381, A3:E1001, 3, FALSE)</f>
        <v>M</v>
      </c>
      <c r="AG3">
        <f t="shared" ref="AG3:AG6" si="9">VLOOKUP(25597, A3:E1001, 5, FALSE)</f>
        <v>0</v>
      </c>
      <c r="AI3" t="str">
        <f t="shared" ref="AI3:AI65" si="10">IF(VLOOKUP(A3,$A$2:$E$1000,5,FALSE)="Yes",
   "Customer Bought Bike",
   "Did Not Buy")</f>
        <v>Did Not Buy</v>
      </c>
      <c r="AJ3">
        <f>VLOOKUP(A5, A2:E1000, 4, FALSE) * 1.1</f>
        <v>77000</v>
      </c>
      <c r="AL3" t="str">
        <f t="shared" ref="AL3:AL26" si="11">IF(VLOOKUP(A3,$A$2:$E$1000,4,FALSE) &gt; 60000,"High Income","Normal")</f>
        <v>Normal</v>
      </c>
    </row>
    <row r="4" spans="1:38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  <c r="W4" t="str">
        <f t="shared" si="0"/>
        <v>Europe - Partial College</v>
      </c>
      <c r="X4" t="str">
        <f t="shared" si="1"/>
        <v>14177 - Professional</v>
      </c>
      <c r="Y4" t="str">
        <f t="shared" si="2"/>
        <v>Europe</v>
      </c>
      <c r="Z4" t="str">
        <f t="shared" si="3"/>
        <v>PROFESSIONAL</v>
      </c>
      <c r="AA4" t="str">
        <f t="shared" si="4"/>
        <v>partial college</v>
      </c>
      <c r="AB4" t="str">
        <f t="shared" si="5"/>
        <v>Partial College</v>
      </c>
      <c r="AC4" t="str">
        <f t="shared" si="6"/>
        <v>High Income</v>
      </c>
      <c r="AD4" t="str">
        <f t="shared" si="7"/>
        <v>Very High</v>
      </c>
      <c r="AE4">
        <f t="shared" ref="AE4:AE27" si="12">COUNTIFS(I3:I1028,"&gt;=2", M3:M1028,"Yes")</f>
        <v>183</v>
      </c>
      <c r="AF4" t="str">
        <f t="shared" si="8"/>
        <v>M</v>
      </c>
      <c r="AG4">
        <f t="shared" si="9"/>
        <v>0</v>
      </c>
      <c r="AI4" t="str">
        <f t="shared" si="10"/>
        <v>Did Not Buy</v>
      </c>
      <c r="AL4" t="str">
        <f t="shared" si="11"/>
        <v>High Income</v>
      </c>
    </row>
    <row r="5" spans="1:38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  <c r="W5" t="str">
        <f t="shared" si="0"/>
        <v>Pacific - Bachelors</v>
      </c>
      <c r="X5" t="str">
        <f t="shared" si="1"/>
        <v>24381 - Professional</v>
      </c>
      <c r="Y5" t="str">
        <f t="shared" si="2"/>
        <v>Pacific</v>
      </c>
      <c r="Z5" t="str">
        <f t="shared" si="3"/>
        <v>PROFESSIONAL</v>
      </c>
      <c r="AA5" t="str">
        <f t="shared" si="4"/>
        <v>bachelors</v>
      </c>
      <c r="AB5" t="str">
        <f t="shared" si="5"/>
        <v>Bachelors</v>
      </c>
      <c r="AC5" t="str">
        <f t="shared" si="6"/>
        <v>High Income</v>
      </c>
      <c r="AD5" t="str">
        <f t="shared" si="7"/>
        <v>Medium</v>
      </c>
      <c r="AE5">
        <f t="shared" si="12"/>
        <v>183</v>
      </c>
      <c r="AF5" t="str">
        <f t="shared" si="8"/>
        <v>M</v>
      </c>
      <c r="AG5">
        <f t="shared" si="9"/>
        <v>0</v>
      </c>
      <c r="AI5" t="str">
        <f t="shared" si="10"/>
        <v>Did Not Buy</v>
      </c>
      <c r="AL5" t="str">
        <f t="shared" si="11"/>
        <v>High Income</v>
      </c>
    </row>
    <row r="6" spans="1:38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  <c r="W6" t="str">
        <f t="shared" si="0"/>
        <v>Europe - Bachelors</v>
      </c>
      <c r="X6" t="str">
        <f t="shared" si="1"/>
        <v>25597 - Clerical</v>
      </c>
      <c r="Y6" t="str">
        <f t="shared" si="2"/>
        <v>Europe</v>
      </c>
      <c r="Z6" t="str">
        <f t="shared" si="3"/>
        <v>CLERICAL</v>
      </c>
      <c r="AA6" t="str">
        <f t="shared" si="4"/>
        <v>bachelors</v>
      </c>
      <c r="AB6" t="str">
        <f t="shared" si="5"/>
        <v>Bachelors</v>
      </c>
      <c r="AC6" t="str">
        <f t="shared" si="6"/>
        <v>Low Income</v>
      </c>
      <c r="AD6" t="str">
        <f t="shared" si="7"/>
        <v>Low</v>
      </c>
      <c r="AE6">
        <f t="shared" si="12"/>
        <v>183</v>
      </c>
      <c r="AG6">
        <f t="shared" si="9"/>
        <v>0</v>
      </c>
      <c r="AI6" t="str">
        <f t="shared" si="10"/>
        <v>Did Not Buy</v>
      </c>
      <c r="AL6" t="str">
        <f t="shared" si="11"/>
        <v>Normal</v>
      </c>
    </row>
    <row r="7" spans="1:38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  <c r="W7" t="str">
        <f t="shared" si="0"/>
        <v>Europe - Partial College</v>
      </c>
      <c r="X7" t="str">
        <f t="shared" si="1"/>
        <v>13507 - Manual</v>
      </c>
      <c r="Y7" t="str">
        <f t="shared" si="2"/>
        <v>Europe</v>
      </c>
      <c r="Z7" t="str">
        <f t="shared" si="3"/>
        <v>MANUAL</v>
      </c>
      <c r="AA7" t="str">
        <f t="shared" si="4"/>
        <v>partial college</v>
      </c>
      <c r="AB7" t="str">
        <f t="shared" si="5"/>
        <v>Partial College</v>
      </c>
      <c r="AC7" t="str">
        <f t="shared" si="6"/>
        <v>Low Income</v>
      </c>
      <c r="AD7" t="str">
        <f t="shared" si="7"/>
        <v>Low</v>
      </c>
      <c r="AE7">
        <f t="shared" si="12"/>
        <v>183</v>
      </c>
      <c r="AI7" t="str">
        <f t="shared" si="10"/>
        <v>Did Not Buy</v>
      </c>
      <c r="AL7" t="str">
        <f t="shared" si="11"/>
        <v>Normal</v>
      </c>
    </row>
    <row r="8" spans="1:38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  <c r="W8" t="str">
        <f t="shared" si="0"/>
        <v>Pacific - High School</v>
      </c>
      <c r="X8" t="str">
        <f t="shared" si="1"/>
        <v>27974 - Management</v>
      </c>
      <c r="Y8" t="str">
        <f t="shared" si="2"/>
        <v>Pacific</v>
      </c>
      <c r="Z8" t="str">
        <f t="shared" si="3"/>
        <v>MANAGEMENT</v>
      </c>
      <c r="AA8" t="str">
        <f t="shared" si="4"/>
        <v>high school</v>
      </c>
      <c r="AB8" t="str">
        <f t="shared" si="5"/>
        <v>High School</v>
      </c>
      <c r="AC8" t="str">
        <f t="shared" si="6"/>
        <v>High Income</v>
      </c>
      <c r="AD8" t="str">
        <f t="shared" si="7"/>
        <v>Very High</v>
      </c>
      <c r="AE8">
        <f t="shared" si="12"/>
        <v>183</v>
      </c>
      <c r="AI8" t="str">
        <f t="shared" si="10"/>
        <v>Did Not Buy</v>
      </c>
      <c r="AL8" t="str">
        <f t="shared" si="11"/>
        <v>High Income</v>
      </c>
    </row>
    <row r="9" spans="1:38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  <c r="W9" t="str">
        <f t="shared" si="0"/>
        <v>Europe - Bachelors</v>
      </c>
      <c r="X9" t="str">
        <f t="shared" si="1"/>
        <v>19364 - Skilled Manual</v>
      </c>
      <c r="Y9" t="str">
        <f t="shared" si="2"/>
        <v>Europe</v>
      </c>
      <c r="Z9" t="str">
        <f t="shared" si="3"/>
        <v>SKILLED MANUAL</v>
      </c>
      <c r="AA9" t="str">
        <f t="shared" si="4"/>
        <v>bachelors</v>
      </c>
      <c r="AB9" t="str">
        <f t="shared" si="5"/>
        <v>Bachelors</v>
      </c>
      <c r="AC9" t="str">
        <f t="shared" si="6"/>
        <v>Low Income</v>
      </c>
      <c r="AD9" t="str">
        <f t="shared" si="7"/>
        <v>Medium</v>
      </c>
      <c r="AE9">
        <f t="shared" si="12"/>
        <v>183</v>
      </c>
      <c r="AI9" t="str">
        <f t="shared" si="10"/>
        <v>Did Not Buy</v>
      </c>
      <c r="AL9" t="str">
        <f t="shared" si="11"/>
        <v>Normal</v>
      </c>
    </row>
    <row r="10" spans="1:38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  <c r="W10" t="str">
        <f t="shared" si="0"/>
        <v>Pacific - Partial High School</v>
      </c>
      <c r="X10" t="str">
        <f t="shared" si="1"/>
        <v>22155 - Clerical</v>
      </c>
      <c r="Y10" t="str">
        <f t="shared" si="2"/>
        <v>Pacific</v>
      </c>
      <c r="Z10" t="str">
        <f t="shared" si="3"/>
        <v>CLERICAL</v>
      </c>
      <c r="AA10" t="str">
        <f t="shared" si="4"/>
        <v>partial high school</v>
      </c>
      <c r="AB10" t="str">
        <f t="shared" si="5"/>
        <v>Partial High School</v>
      </c>
      <c r="AC10" t="str">
        <f t="shared" si="6"/>
        <v>Low Income</v>
      </c>
      <c r="AD10" t="str">
        <f t="shared" si="7"/>
        <v>Low</v>
      </c>
      <c r="AE10">
        <f t="shared" si="12"/>
        <v>182</v>
      </c>
      <c r="AI10" t="str">
        <f t="shared" si="10"/>
        <v>Did Not Buy</v>
      </c>
      <c r="AL10" t="str">
        <f t="shared" si="11"/>
        <v>Normal</v>
      </c>
    </row>
    <row r="11" spans="1:38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  <c r="N11" s="1">
        <v>40000</v>
      </c>
      <c r="W11" t="str">
        <f t="shared" si="0"/>
        <v>Europe - Partial College</v>
      </c>
      <c r="X11" t="str">
        <f t="shared" si="1"/>
        <v>19280 - Manual</v>
      </c>
      <c r="Y11" t="str">
        <f t="shared" si="2"/>
        <v>Europe</v>
      </c>
      <c r="Z11" t="str">
        <f t="shared" si="3"/>
        <v>MANUAL</v>
      </c>
      <c r="AA11" t="str">
        <f t="shared" si="4"/>
        <v>partial college</v>
      </c>
      <c r="AB11" t="str">
        <f t="shared" si="5"/>
        <v>Partial College</v>
      </c>
      <c r="AC11" t="str">
        <f t="shared" si="6"/>
        <v>High Income</v>
      </c>
      <c r="AD11" t="str">
        <f t="shared" si="7"/>
        <v>Very High</v>
      </c>
      <c r="AE11">
        <f t="shared" si="12"/>
        <v>182</v>
      </c>
      <c r="AI11" t="str">
        <f t="shared" si="10"/>
        <v>Did Not Buy</v>
      </c>
      <c r="AL11" t="str">
        <f t="shared" si="11"/>
        <v>High Income</v>
      </c>
    </row>
    <row r="12" spans="1:38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  <c r="W12" t="str">
        <f t="shared" si="0"/>
        <v>Pacific - High School</v>
      </c>
      <c r="X12" t="str">
        <f t="shared" si="1"/>
        <v>22173 - Skilled Manual</v>
      </c>
      <c r="Y12" t="str">
        <f t="shared" si="2"/>
        <v>Pacific</v>
      </c>
      <c r="Z12" t="str">
        <f t="shared" si="3"/>
        <v>SKILLED MANUAL</v>
      </c>
      <c r="AA12" t="str">
        <f t="shared" si="4"/>
        <v>high school</v>
      </c>
      <c r="AB12" t="str">
        <f t="shared" si="5"/>
        <v>High School</v>
      </c>
      <c r="AC12" t="str">
        <f t="shared" si="6"/>
        <v>Low Income</v>
      </c>
      <c r="AD12" t="str">
        <f t="shared" si="7"/>
        <v>Low</v>
      </c>
      <c r="AE12">
        <f t="shared" si="12"/>
        <v>182</v>
      </c>
      <c r="AI12" t="str">
        <f t="shared" si="10"/>
        <v>Did Not Buy</v>
      </c>
      <c r="AL12" t="str">
        <f t="shared" si="11"/>
        <v>Normal</v>
      </c>
    </row>
    <row r="13" spans="1:38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  <c r="W13" t="str">
        <f t="shared" si="0"/>
        <v>Pacific - Bachelors</v>
      </c>
      <c r="X13" t="str">
        <f t="shared" si="1"/>
        <v>12697 - Professional</v>
      </c>
      <c r="Y13" t="str">
        <f t="shared" si="2"/>
        <v>Pacific</v>
      </c>
      <c r="Z13" t="str">
        <f t="shared" si="3"/>
        <v>PROFESSIONAL</v>
      </c>
      <c r="AA13" t="str">
        <f t="shared" si="4"/>
        <v>bachelors</v>
      </c>
      <c r="AB13" t="str">
        <f t="shared" si="5"/>
        <v>Bachelors</v>
      </c>
      <c r="AC13" t="str">
        <f t="shared" si="6"/>
        <v>High Income</v>
      </c>
      <c r="AD13" t="str">
        <f t="shared" si="7"/>
        <v>Very High</v>
      </c>
      <c r="AE13">
        <f t="shared" si="12"/>
        <v>182</v>
      </c>
      <c r="AI13" t="str">
        <f t="shared" si="10"/>
        <v>Did Not Buy</v>
      </c>
      <c r="AL13" t="str">
        <f t="shared" si="11"/>
        <v>High Income</v>
      </c>
    </row>
    <row r="14" spans="1:38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  <c r="W14" t="str">
        <f t="shared" si="0"/>
        <v>Europe - Partial College</v>
      </c>
      <c r="X14" t="str">
        <f t="shared" si="1"/>
        <v>11434 - Professional</v>
      </c>
      <c r="Y14" t="str">
        <f t="shared" si="2"/>
        <v>Europe</v>
      </c>
      <c r="Z14" t="str">
        <f t="shared" si="3"/>
        <v>PROFESSIONAL</v>
      </c>
      <c r="AA14" t="str">
        <f t="shared" si="4"/>
        <v>partial college</v>
      </c>
      <c r="AB14" t="str">
        <f t="shared" si="5"/>
        <v>Partial College</v>
      </c>
      <c r="AC14" t="str">
        <f t="shared" si="6"/>
        <v>High Income</v>
      </c>
      <c r="AD14" t="str">
        <f t="shared" si="7"/>
        <v>Very High</v>
      </c>
      <c r="AE14">
        <f t="shared" si="12"/>
        <v>181</v>
      </c>
      <c r="AI14" t="str">
        <f t="shared" si="10"/>
        <v>Did Not Buy</v>
      </c>
      <c r="AL14" t="str">
        <f t="shared" si="11"/>
        <v>High Income</v>
      </c>
    </row>
    <row r="15" spans="1:38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  <c r="W15" t="str">
        <f t="shared" si="0"/>
        <v>Europe - Partial College</v>
      </c>
      <c r="X15" t="str">
        <f t="shared" si="1"/>
        <v>25323 - Clerical</v>
      </c>
      <c r="Y15" t="str">
        <f t="shared" si="2"/>
        <v>Europe</v>
      </c>
      <c r="Z15" t="str">
        <f t="shared" si="3"/>
        <v>CLERICAL</v>
      </c>
      <c r="AA15" t="str">
        <f t="shared" si="4"/>
        <v>partial college</v>
      </c>
      <c r="AB15" t="str">
        <f t="shared" si="5"/>
        <v>Partial College</v>
      </c>
      <c r="AC15" t="str">
        <f t="shared" si="6"/>
        <v>Low Income</v>
      </c>
      <c r="AD15" t="str">
        <f t="shared" si="7"/>
        <v>Medium</v>
      </c>
      <c r="AE15">
        <f t="shared" si="12"/>
        <v>181</v>
      </c>
      <c r="AI15" t="str">
        <f t="shared" si="10"/>
        <v>Did Not Buy</v>
      </c>
      <c r="AL15" t="str">
        <f t="shared" si="11"/>
        <v>Normal</v>
      </c>
    </row>
    <row r="16" spans="1:38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  <c r="W16" t="str">
        <f t="shared" si="0"/>
        <v>Pacific - Partial College</v>
      </c>
      <c r="X16" t="str">
        <f t="shared" si="1"/>
        <v>23542 - Skilled Manual</v>
      </c>
      <c r="Y16" t="str">
        <f t="shared" si="2"/>
        <v>Pacific</v>
      </c>
      <c r="Z16" t="str">
        <f t="shared" si="3"/>
        <v>SKILLED MANUAL</v>
      </c>
      <c r="AA16" t="str">
        <f t="shared" si="4"/>
        <v>partial college</v>
      </c>
      <c r="AB16" t="str">
        <f t="shared" si="5"/>
        <v>Partial College</v>
      </c>
      <c r="AC16" t="str">
        <f t="shared" si="6"/>
        <v>High Income</v>
      </c>
      <c r="AD16" t="str">
        <f t="shared" si="7"/>
        <v>Medium</v>
      </c>
      <c r="AE16">
        <f t="shared" si="12"/>
        <v>181</v>
      </c>
      <c r="AI16" t="str">
        <f t="shared" si="10"/>
        <v>Did Not Buy</v>
      </c>
      <c r="AL16" t="str">
        <f t="shared" si="11"/>
        <v>Normal</v>
      </c>
    </row>
    <row r="17" spans="1:38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  <c r="W17" t="str">
        <f t="shared" si="0"/>
        <v>Europe - High School</v>
      </c>
      <c r="X17" t="str">
        <f t="shared" si="1"/>
        <v>20870 - Manual</v>
      </c>
      <c r="Y17" t="str">
        <f t="shared" si="2"/>
        <v>Europe</v>
      </c>
      <c r="Z17" t="str">
        <f t="shared" si="3"/>
        <v>MANUAL</v>
      </c>
      <c r="AA17" t="str">
        <f t="shared" si="4"/>
        <v>high school</v>
      </c>
      <c r="AB17" t="str">
        <f t="shared" si="5"/>
        <v>High School</v>
      </c>
      <c r="AC17" t="str">
        <f t="shared" si="6"/>
        <v>Low Income</v>
      </c>
      <c r="AD17" t="str">
        <f t="shared" si="7"/>
        <v>Low</v>
      </c>
      <c r="AE17">
        <f t="shared" si="12"/>
        <v>181</v>
      </c>
      <c r="AI17" t="str">
        <f t="shared" si="10"/>
        <v>Did Not Buy</v>
      </c>
      <c r="AL17" t="str">
        <f t="shared" si="11"/>
        <v>Normal</v>
      </c>
    </row>
    <row r="18" spans="1:38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  <c r="W18" t="str">
        <f t="shared" si="0"/>
        <v>Pacific - Partial College</v>
      </c>
      <c r="X18" t="str">
        <f t="shared" si="1"/>
        <v>23316 - Clerical</v>
      </c>
      <c r="Y18" t="str">
        <f t="shared" si="2"/>
        <v>Pacific</v>
      </c>
      <c r="Z18" t="str">
        <f t="shared" si="3"/>
        <v>CLERICAL</v>
      </c>
      <c r="AA18" t="str">
        <f t="shared" si="4"/>
        <v>partial college</v>
      </c>
      <c r="AB18" t="str">
        <f t="shared" si="5"/>
        <v>Partial College</v>
      </c>
      <c r="AC18" t="str">
        <f t="shared" si="6"/>
        <v>Low Income</v>
      </c>
      <c r="AD18" t="str">
        <f t="shared" si="7"/>
        <v>Low</v>
      </c>
      <c r="AE18">
        <f t="shared" si="12"/>
        <v>181</v>
      </c>
      <c r="AI18" t="str">
        <f t="shared" si="10"/>
        <v>Did Not Buy</v>
      </c>
      <c r="AL18" t="str">
        <f t="shared" si="11"/>
        <v>Normal</v>
      </c>
    </row>
    <row r="19" spans="1:38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  <c r="W19" t="str">
        <f t="shared" si="0"/>
        <v>Europe - Bachelors</v>
      </c>
      <c r="X19" t="str">
        <f t="shared" si="1"/>
        <v>12610 - Clerical</v>
      </c>
      <c r="Y19" t="str">
        <f t="shared" si="2"/>
        <v>Europe</v>
      </c>
      <c r="Z19" t="str">
        <f t="shared" si="3"/>
        <v>CLERICAL</v>
      </c>
      <c r="AA19" t="str">
        <f t="shared" si="4"/>
        <v>bachelors</v>
      </c>
      <c r="AB19" t="str">
        <f t="shared" si="5"/>
        <v>Bachelors</v>
      </c>
      <c r="AC19" t="str">
        <f t="shared" si="6"/>
        <v>Low Income</v>
      </c>
      <c r="AD19" t="str">
        <f t="shared" si="7"/>
        <v>Low</v>
      </c>
      <c r="AE19">
        <f>COUNTIFS(I18:I1043,"&gt;=2", M18:M1043,"Yes")</f>
        <v>181</v>
      </c>
      <c r="AI19" t="str">
        <f t="shared" si="10"/>
        <v>Did Not Buy</v>
      </c>
      <c r="AL19" t="str">
        <f t="shared" si="11"/>
        <v>Normal</v>
      </c>
    </row>
    <row r="20" spans="1:38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  <c r="W20" t="str">
        <f t="shared" si="0"/>
        <v>Europe - Partial College</v>
      </c>
      <c r="X20" t="str">
        <f t="shared" si="1"/>
        <v>27183 - Clerical</v>
      </c>
      <c r="Y20" t="str">
        <f t="shared" si="2"/>
        <v>Europe</v>
      </c>
      <c r="Z20" t="str">
        <f t="shared" si="3"/>
        <v>CLERICAL</v>
      </c>
      <c r="AA20" t="str">
        <f t="shared" si="4"/>
        <v>partial college</v>
      </c>
      <c r="AB20" t="str">
        <f t="shared" si="5"/>
        <v>Partial College</v>
      </c>
      <c r="AC20" t="str">
        <f t="shared" si="6"/>
        <v>Low Income</v>
      </c>
      <c r="AD20" t="str">
        <f t="shared" si="7"/>
        <v>Medium</v>
      </c>
      <c r="AE20">
        <f t="shared" si="12"/>
        <v>180</v>
      </c>
      <c r="AI20" t="str">
        <f t="shared" si="10"/>
        <v>Did Not Buy</v>
      </c>
      <c r="AL20" t="str">
        <f t="shared" si="11"/>
        <v>Normal</v>
      </c>
    </row>
    <row r="21" spans="1:38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  <c r="W21" t="str">
        <f t="shared" si="0"/>
        <v>Pacific - Partial High School</v>
      </c>
      <c r="X21" t="str">
        <f t="shared" si="1"/>
        <v>25940 - Clerical</v>
      </c>
      <c r="Y21" t="str">
        <f t="shared" si="2"/>
        <v>Pacific</v>
      </c>
      <c r="Z21" t="str">
        <f t="shared" si="3"/>
        <v>CLERICAL</v>
      </c>
      <c r="AA21" t="str">
        <f t="shared" si="4"/>
        <v>partial high school</v>
      </c>
      <c r="AB21" t="str">
        <f t="shared" si="5"/>
        <v>Partial High School</v>
      </c>
      <c r="AC21" t="str">
        <f t="shared" si="6"/>
        <v>Low Income</v>
      </c>
      <c r="AD21" t="str">
        <f t="shared" si="7"/>
        <v>Low</v>
      </c>
      <c r="AE21">
        <f t="shared" si="12"/>
        <v>180</v>
      </c>
      <c r="AI21" t="str">
        <f t="shared" si="10"/>
        <v>Did Not Buy</v>
      </c>
      <c r="AL21" t="str">
        <f t="shared" si="11"/>
        <v>Normal</v>
      </c>
    </row>
    <row r="22" spans="1:38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  <c r="W22" t="str">
        <f t="shared" si="0"/>
        <v>Europe - Graduate Degree</v>
      </c>
      <c r="X22" t="str">
        <f t="shared" si="1"/>
        <v>25598 - Clerical</v>
      </c>
      <c r="Y22" t="str">
        <f t="shared" si="2"/>
        <v>Europe</v>
      </c>
      <c r="Z22" t="str">
        <f t="shared" si="3"/>
        <v>CLERICAL</v>
      </c>
      <c r="AA22" t="str">
        <f t="shared" si="4"/>
        <v>graduate degree</v>
      </c>
      <c r="AB22" t="str">
        <f t="shared" si="5"/>
        <v>Graduate Degree</v>
      </c>
      <c r="AC22" t="str">
        <f t="shared" si="6"/>
        <v>Low Income</v>
      </c>
      <c r="AD22" t="str">
        <f t="shared" si="7"/>
        <v>Medium</v>
      </c>
      <c r="AE22">
        <f t="shared" si="12"/>
        <v>180</v>
      </c>
      <c r="AI22" t="str">
        <f t="shared" si="10"/>
        <v>Did Not Buy</v>
      </c>
      <c r="AL22" t="str">
        <f t="shared" si="11"/>
        <v>Normal</v>
      </c>
    </row>
    <row r="23" spans="1:38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  <c r="W23" t="str">
        <f t="shared" si="0"/>
        <v>Pacific - Bachelors</v>
      </c>
      <c r="X23" t="str">
        <f t="shared" si="1"/>
        <v>21564 - Professional</v>
      </c>
      <c r="Y23" t="str">
        <f t="shared" si="2"/>
        <v>Pacific</v>
      </c>
      <c r="Z23" t="str">
        <f t="shared" si="3"/>
        <v>PROFESSIONAL</v>
      </c>
      <c r="AA23" t="str">
        <f t="shared" si="4"/>
        <v>bachelors</v>
      </c>
      <c r="AB23" t="str">
        <f t="shared" si="5"/>
        <v>Bachelors</v>
      </c>
      <c r="AC23" t="str">
        <f t="shared" si="6"/>
        <v>High Income</v>
      </c>
      <c r="AD23" t="str">
        <f t="shared" si="7"/>
        <v>Very High</v>
      </c>
      <c r="AE23">
        <f t="shared" si="12"/>
        <v>179</v>
      </c>
      <c r="AI23" t="str">
        <f t="shared" si="10"/>
        <v>Did Not Buy</v>
      </c>
      <c r="AL23" t="str">
        <f t="shared" si="11"/>
        <v>High Income</v>
      </c>
    </row>
    <row r="24" spans="1:38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  <c r="W24" t="str">
        <f t="shared" si="0"/>
        <v>Europe - Partial College</v>
      </c>
      <c r="X24" t="str">
        <f t="shared" si="1"/>
        <v>19193 - Clerical</v>
      </c>
      <c r="Y24" t="str">
        <f t="shared" si="2"/>
        <v>Europe</v>
      </c>
      <c r="Z24" t="str">
        <f t="shared" si="3"/>
        <v>CLERICAL</v>
      </c>
      <c r="AA24" t="str">
        <f t="shared" si="4"/>
        <v>partial college</v>
      </c>
      <c r="AB24" t="str">
        <f t="shared" si="5"/>
        <v>Partial College</v>
      </c>
      <c r="AC24" t="str">
        <f t="shared" si="6"/>
        <v>Low Income</v>
      </c>
      <c r="AD24" t="str">
        <f t="shared" si="7"/>
        <v>Medium</v>
      </c>
      <c r="AE24">
        <f t="shared" si="12"/>
        <v>179</v>
      </c>
      <c r="AI24" t="str">
        <f t="shared" si="10"/>
        <v>Did Not Buy</v>
      </c>
      <c r="AL24" t="str">
        <f t="shared" si="11"/>
        <v>Normal</v>
      </c>
    </row>
    <row r="25" spans="1:38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  <c r="W25" t="str">
        <f t="shared" si="0"/>
        <v>Europe - High School</v>
      </c>
      <c r="X25" t="str">
        <f t="shared" si="1"/>
        <v>26412 - Management</v>
      </c>
      <c r="Y25" t="str">
        <f t="shared" si="2"/>
        <v>Europe</v>
      </c>
      <c r="Z25" t="str">
        <f t="shared" si="3"/>
        <v>MANAGEMENT</v>
      </c>
      <c r="AA25" t="str">
        <f t="shared" si="4"/>
        <v>high school</v>
      </c>
      <c r="AB25" t="str">
        <f t="shared" si="5"/>
        <v>High School</v>
      </c>
      <c r="AC25" t="str">
        <f t="shared" si="6"/>
        <v>High Income</v>
      </c>
      <c r="AD25" t="str">
        <f t="shared" si="7"/>
        <v>Very High</v>
      </c>
      <c r="AE25">
        <f t="shared" si="12"/>
        <v>179</v>
      </c>
      <c r="AI25" t="str">
        <f t="shared" si="10"/>
        <v>Did Not Buy</v>
      </c>
      <c r="AL25" t="str">
        <f t="shared" si="11"/>
        <v>High Income</v>
      </c>
    </row>
    <row r="26" spans="1:38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  <c r="W26" t="str">
        <f t="shared" si="0"/>
        <v>Europe - Partial College</v>
      </c>
      <c r="X26" t="str">
        <f t="shared" si="1"/>
        <v>27184 - Clerical</v>
      </c>
      <c r="Y26" t="str">
        <f t="shared" si="2"/>
        <v>Europe</v>
      </c>
      <c r="Z26" t="str">
        <f t="shared" si="3"/>
        <v>CLERICAL</v>
      </c>
      <c r="AA26" t="str">
        <f t="shared" si="4"/>
        <v>partial college</v>
      </c>
      <c r="AB26" t="str">
        <f t="shared" si="5"/>
        <v>Partial College</v>
      </c>
      <c r="AC26" t="str">
        <f t="shared" si="6"/>
        <v>Low Income</v>
      </c>
      <c r="AD26" t="str">
        <f t="shared" si="7"/>
        <v>Medium</v>
      </c>
      <c r="AE26">
        <f t="shared" si="12"/>
        <v>179</v>
      </c>
      <c r="AI26" t="str">
        <f t="shared" si="10"/>
        <v>Did Not Buy</v>
      </c>
      <c r="AL26" t="str">
        <f t="shared" si="11"/>
        <v>Normal</v>
      </c>
    </row>
    <row r="27" spans="1:38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  <c r="X27" t="str">
        <f t="shared" si="1"/>
        <v>12590 - Clerical</v>
      </c>
      <c r="Y27" t="str">
        <f t="shared" si="2"/>
        <v>Europe</v>
      </c>
      <c r="Z27" t="str">
        <f t="shared" si="3"/>
        <v>CLERICAL</v>
      </c>
      <c r="AA27" t="str">
        <f t="shared" si="4"/>
        <v>bachelors</v>
      </c>
      <c r="AB27" t="str">
        <f t="shared" si="5"/>
        <v>Bachelors</v>
      </c>
      <c r="AC27" t="str">
        <f t="shared" si="6"/>
        <v>Low Income</v>
      </c>
      <c r="AD27" t="str">
        <f t="shared" si="7"/>
        <v>Low</v>
      </c>
      <c r="AE27">
        <f t="shared" si="12"/>
        <v>179</v>
      </c>
      <c r="AI27" t="str">
        <f t="shared" si="10"/>
        <v>Did Not Buy</v>
      </c>
    </row>
    <row r="28" spans="1:38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  <c r="AI28" t="str">
        <f t="shared" si="10"/>
        <v>Did Not Buy</v>
      </c>
    </row>
    <row r="29" spans="1:38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  <c r="AI29" t="str">
        <f t="shared" si="10"/>
        <v>Did Not Buy</v>
      </c>
    </row>
    <row r="30" spans="1:38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  <c r="AI30" t="str">
        <f t="shared" si="10"/>
        <v>Did Not Buy</v>
      </c>
    </row>
    <row r="31" spans="1:38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  <c r="AI31" t="str">
        <f t="shared" si="10"/>
        <v>Did Not Buy</v>
      </c>
    </row>
    <row r="32" spans="1:38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  <c r="AI32" t="str">
        <f t="shared" si="10"/>
        <v>Did Not Buy</v>
      </c>
    </row>
    <row r="33" spans="1:35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  <c r="AI33" t="str">
        <f t="shared" si="10"/>
        <v>Did Not Buy</v>
      </c>
    </row>
    <row r="34" spans="1:35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  <c r="AI34" t="str">
        <f t="shared" si="10"/>
        <v>Did Not Buy</v>
      </c>
    </row>
    <row r="35" spans="1:35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  <c r="AI35" t="str">
        <f t="shared" si="10"/>
        <v>Did Not Buy</v>
      </c>
    </row>
    <row r="36" spans="1:35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  <c r="AI36" t="str">
        <f t="shared" si="10"/>
        <v>Did Not Buy</v>
      </c>
    </row>
    <row r="37" spans="1:35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  <c r="AI37" t="str">
        <f t="shared" si="10"/>
        <v>Did Not Buy</v>
      </c>
    </row>
    <row r="38" spans="1:35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  <c r="AI38" t="str">
        <f t="shared" si="10"/>
        <v>Did Not Buy</v>
      </c>
    </row>
    <row r="39" spans="1:35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  <c r="AI39" t="str">
        <f t="shared" si="10"/>
        <v>Did Not Buy</v>
      </c>
    </row>
    <row r="40" spans="1:35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  <c r="AI40" t="str">
        <f t="shared" si="10"/>
        <v>Did Not Buy</v>
      </c>
    </row>
    <row r="41" spans="1:35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  <c r="AI41" t="str">
        <f t="shared" si="10"/>
        <v>Did Not Buy</v>
      </c>
    </row>
    <row r="42" spans="1:35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  <c r="AI42" t="str">
        <f t="shared" si="10"/>
        <v>Did Not Buy</v>
      </c>
    </row>
    <row r="43" spans="1:35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  <c r="AI43" t="str">
        <f t="shared" si="10"/>
        <v>Did Not Buy</v>
      </c>
    </row>
    <row r="44" spans="1:35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  <c r="AI44" t="str">
        <f t="shared" si="10"/>
        <v>Did Not Buy</v>
      </c>
    </row>
    <row r="45" spans="1:35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  <c r="AI45" t="str">
        <f t="shared" si="10"/>
        <v>Did Not Buy</v>
      </c>
    </row>
    <row r="46" spans="1:35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  <c r="AI46" t="str">
        <f t="shared" si="10"/>
        <v>Did Not Buy</v>
      </c>
    </row>
    <row r="47" spans="1:35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  <c r="AI47" t="str">
        <f t="shared" si="10"/>
        <v>Did Not Buy</v>
      </c>
    </row>
    <row r="48" spans="1:35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  <c r="AI48" t="str">
        <f t="shared" si="10"/>
        <v>Did Not Buy</v>
      </c>
    </row>
    <row r="49" spans="1:35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  <c r="AI49" t="str">
        <f t="shared" si="10"/>
        <v>Did Not Buy</v>
      </c>
    </row>
    <row r="50" spans="1:35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  <c r="AI50" t="str">
        <f t="shared" si="10"/>
        <v>Did Not Buy</v>
      </c>
    </row>
    <row r="51" spans="1:35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  <c r="AI51" t="str">
        <f t="shared" si="10"/>
        <v>Did Not Buy</v>
      </c>
    </row>
    <row r="52" spans="1:35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  <c r="AI52" t="str">
        <f t="shared" si="10"/>
        <v>Did Not Buy</v>
      </c>
    </row>
    <row r="53" spans="1:35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  <c r="AI53" t="str">
        <f t="shared" si="10"/>
        <v>Did Not Buy</v>
      </c>
    </row>
    <row r="54" spans="1:35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  <c r="AI54" t="str">
        <f t="shared" si="10"/>
        <v>Did Not Buy</v>
      </c>
    </row>
    <row r="55" spans="1:35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  <c r="AI55" t="str">
        <f t="shared" si="10"/>
        <v>Did Not Buy</v>
      </c>
    </row>
    <row r="56" spans="1:35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  <c r="AI56" t="str">
        <f t="shared" si="10"/>
        <v>Did Not Buy</v>
      </c>
    </row>
    <row r="57" spans="1:35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  <c r="AI57" t="str">
        <f t="shared" si="10"/>
        <v>Did Not Buy</v>
      </c>
    </row>
    <row r="58" spans="1:35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  <c r="AI58" t="str">
        <f t="shared" si="10"/>
        <v>Did Not Buy</v>
      </c>
    </row>
    <row r="59" spans="1:35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  <c r="AI59" t="str">
        <f t="shared" si="10"/>
        <v>Did Not Buy</v>
      </c>
    </row>
    <row r="60" spans="1:35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  <c r="AI60" t="str">
        <f t="shared" si="10"/>
        <v>Did Not Buy</v>
      </c>
    </row>
    <row r="61" spans="1:35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  <c r="AI61" t="str">
        <f t="shared" si="10"/>
        <v>Did Not Buy</v>
      </c>
    </row>
    <row r="62" spans="1:35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  <c r="AI62" t="str">
        <f t="shared" si="10"/>
        <v>Did Not Buy</v>
      </c>
    </row>
    <row r="63" spans="1:35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  <c r="AI63" t="str">
        <f t="shared" si="10"/>
        <v>Did Not Buy</v>
      </c>
    </row>
    <row r="64" spans="1:35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  <c r="AI64" t="str">
        <f t="shared" si="10"/>
        <v>Did Not Buy</v>
      </c>
    </row>
    <row r="65" spans="1:35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  <c r="AI65" t="str">
        <f t="shared" si="10"/>
        <v>Did Not Buy</v>
      </c>
    </row>
    <row r="66" spans="1:35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35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35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35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35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35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35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35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35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35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35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35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35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35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35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01D7-F253-4C8B-9B9E-F3BF60D05C0B}">
  <dimension ref="A1:M1027"/>
  <sheetViews>
    <sheetView workbookViewId="0">
      <selection activeCell="N5" sqref="N5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245C-6F7C-46A0-873E-6025669F23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bike_buyers (2)</vt:lpstr>
      <vt:lpstr>bike_buyers (4)</vt:lpstr>
      <vt:lpstr>bike_buyers</vt:lpstr>
      <vt:lpstr>bike_buyers (5)</vt:lpstr>
      <vt:lpstr>bike_buyers (6)</vt:lpstr>
      <vt:lpstr>bike_buyers (7)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Sneha Mondal</cp:lastModifiedBy>
  <dcterms:created xsi:type="dcterms:W3CDTF">2022-03-18T02:50:57Z</dcterms:created>
  <dcterms:modified xsi:type="dcterms:W3CDTF">2025-12-10T11:22:00Z</dcterms:modified>
</cp:coreProperties>
</file>