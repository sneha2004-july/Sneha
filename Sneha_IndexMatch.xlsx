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F4FC38C8-EC16-4FD2-8963-250D6F7E7A06}" xr6:coauthVersionLast="47" xr6:coauthVersionMax="47" xr10:uidLastSave="{00000000-0000-0000-0000-000000000000}"/>
  <bookViews>
    <workbookView xWindow="-108" yWindow="-108" windowWidth="23256" windowHeight="12456" activeTab="7" xr2:uid="{D1E7E802-ABBB-485D-B050-7F30C647E6A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8" l="1"/>
  <c r="I2" i="7"/>
  <c r="I2" i="6"/>
  <c r="I2" i="5"/>
  <c r="I2" i="4"/>
  <c r="I2" i="3"/>
  <c r="I4" i="2"/>
</calcChain>
</file>

<file path=xl/sharedStrings.xml><?xml version="1.0" encoding="utf-8"?>
<sst xmlns="http://schemas.openxmlformats.org/spreadsheetml/2006/main" count="167" uniqueCount="24">
  <si>
    <t xml:space="preserve">Product </t>
  </si>
  <si>
    <t xml:space="preserve"> Category</t>
  </si>
  <si>
    <t xml:space="preserve"> Jan Sales </t>
  </si>
  <si>
    <t>Feb Sales</t>
  </si>
  <si>
    <t xml:space="preserve"> Mar Sales</t>
  </si>
  <si>
    <t xml:space="preserve"> Apr Sales</t>
  </si>
  <si>
    <t>May Sales</t>
  </si>
  <si>
    <t>Electronics</t>
  </si>
  <si>
    <t>Furniture</t>
  </si>
  <si>
    <t>Clothing</t>
  </si>
  <si>
    <t>All products</t>
  </si>
  <si>
    <t>Avg sales</t>
  </si>
  <si>
    <t>P_A</t>
  </si>
  <si>
    <t>P_B</t>
  </si>
  <si>
    <t>P_C</t>
  </si>
  <si>
    <t>P_D</t>
  </si>
  <si>
    <t>P_E</t>
  </si>
  <si>
    <t>P_F</t>
  </si>
  <si>
    <t xml:space="preserve"> Product_ID</t>
  </si>
  <si>
    <t>Sales of Product_C in march</t>
  </si>
  <si>
    <t>CAtegory for Product_E</t>
  </si>
  <si>
    <t>Max sales for Product_B</t>
  </si>
  <si>
    <t>Max sale for Product_A</t>
  </si>
  <si>
    <t>Sles for Product_E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</si>
</sst>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799F-EB3B-48CC-8CC2-8F3FA5E622D8}">
  <dimension ref="A1:H7"/>
  <sheetViews>
    <sheetView zoomScale="114" workbookViewId="0">
      <selection activeCell="C14" sqref="C14"/>
    </sheetView>
  </sheetViews>
  <sheetFormatPr defaultRowHeight="14.4" x14ac:dyDescent="0.3"/>
  <cols>
    <col min="1" max="1" width="13.109375" bestFit="1" customWidth="1"/>
    <col min="2" max="2" width="10.109375" bestFit="1" customWidth="1"/>
    <col min="3" max="3" width="13.77734375" bestFit="1" customWidth="1"/>
    <col min="4" max="4" width="12.6640625" bestFit="1" customWidth="1"/>
    <col min="5" max="5" width="11.6640625" bestFit="1" customWidth="1"/>
    <col min="6" max="6" width="12.5546875" bestFit="1" customWidth="1"/>
    <col min="7" max="7" width="12.33203125" bestFit="1" customWidth="1"/>
    <col min="8" max="8" width="12.109375" bestFit="1" customWidth="1"/>
  </cols>
  <sheetData>
    <row r="1" spans="1:8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8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8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8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8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8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88BB-5FF2-40C8-A133-87601B9398A8}">
  <dimension ref="A1:J7"/>
  <sheetViews>
    <sheetView workbookViewId="0">
      <selection activeCell="I19" sqref="I19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31.109375" bestFit="1" customWidth="1"/>
  </cols>
  <sheetData>
    <row r="1" spans="1:10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19</v>
      </c>
      <c r="J1" s="3"/>
    </row>
    <row r="2" spans="1:10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/>
    </row>
    <row r="3" spans="1:10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10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>
        <f>INDEX($D$2:$H$7,MATCH(103,$A$2:$A$7,0),MATCH(F1,$D$1:$H$1,0))</f>
        <v>220</v>
      </c>
    </row>
    <row r="5" spans="1:10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10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10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B9F1-0F85-4E2E-8B99-DADE2FD98D49}">
  <dimension ref="A1:I7"/>
  <sheetViews>
    <sheetView workbookViewId="0">
      <selection activeCell="I3" sqref="I3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26.77734375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20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 t="str">
        <f>INDEX(C2:C7, MATCH(105, A2:A7, 0))</f>
        <v>Furniture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C2D-72C7-422F-9DEB-E5D0BBCC4762}">
  <dimension ref="A1:I7"/>
  <sheetViews>
    <sheetView workbookViewId="0">
      <selection activeCell="I3" sqref="I3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27.88671875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21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>
        <f>MAX(INDEX(D2:H7, MATCH(102, A2:A7, 0), 0))</f>
        <v>190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A40D-8D47-4E03-9A15-EAEAA1A75D40}">
  <dimension ref="A1:I7"/>
  <sheetViews>
    <sheetView workbookViewId="0">
      <selection sqref="A1:A1048576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27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22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 t="str">
        <f>INDEX(D1:H1, MATCH(MAX(INDEX(D2:H7, MATCH(101, A2:A7, 0), 0)), INDEX(D2:H7, MATCH(101, A2:A7, 0), 0), 0))</f>
        <v>May Sales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FEEA-BE04-4622-993D-2811995E8920}">
  <dimension ref="A1:I7"/>
  <sheetViews>
    <sheetView workbookViewId="0">
      <selection activeCell="I2" sqref="I2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14.88671875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>
        <f>SUMIF(C2:C7, "Electronics", G2:G7)</f>
        <v>540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27B9-58E7-4DF0-AC19-219BDA3FE989}">
  <dimension ref="A1:I7"/>
  <sheetViews>
    <sheetView workbookViewId="0">
      <selection activeCell="I3" sqref="I3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11.77734375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>
        <f>AVERAGE(INDEX(D2:H7, MATCH(104, A2:A7, 0), 0))</f>
        <v>110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C2E6-06A6-4FCA-A9C3-4F93B32BECA6}">
  <dimension ref="A1:I7"/>
  <sheetViews>
    <sheetView tabSelected="1" workbookViewId="0">
      <selection activeCell="I2" sqref="I2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3.5546875" bestFit="1" customWidth="1"/>
    <col min="4" max="4" width="12.5546875" bestFit="1" customWidth="1"/>
    <col min="5" max="5" width="11.33203125" bestFit="1" customWidth="1"/>
    <col min="6" max="6" width="12.44140625" bestFit="1" customWidth="1"/>
    <col min="7" max="7" width="12.21875" bestFit="1" customWidth="1"/>
    <col min="8" max="8" width="12" bestFit="1" customWidth="1"/>
    <col min="9" max="9" width="21" bestFit="1" customWidth="1"/>
  </cols>
  <sheetData>
    <row r="1" spans="1:9" ht="1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</v>
      </c>
    </row>
    <row r="2" spans="1:9" ht="17.399999999999999" x14ac:dyDescent="0.45">
      <c r="A2" s="2">
        <v>101</v>
      </c>
      <c r="B2" s="2" t="s">
        <v>12</v>
      </c>
      <c r="C2" s="2" t="s">
        <v>7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I2" s="2">
        <f>INDEX(H2:H7, MATCH(105, A2:A7, 0))</f>
        <v>260</v>
      </c>
    </row>
    <row r="3" spans="1:9" ht="17.399999999999999" x14ac:dyDescent="0.45">
      <c r="A3" s="2">
        <v>102</v>
      </c>
      <c r="B3" s="2" t="s">
        <v>13</v>
      </c>
      <c r="C3" s="2" t="s">
        <v>8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I3" s="2"/>
    </row>
    <row r="4" spans="1:9" ht="17.399999999999999" x14ac:dyDescent="0.45">
      <c r="A4" s="2">
        <v>103</v>
      </c>
      <c r="B4" s="2" t="s">
        <v>14</v>
      </c>
      <c r="C4" s="2" t="s">
        <v>7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I4" s="2"/>
    </row>
    <row r="5" spans="1:9" ht="17.399999999999999" x14ac:dyDescent="0.45">
      <c r="A5" s="2">
        <v>104</v>
      </c>
      <c r="B5" s="2" t="s">
        <v>15</v>
      </c>
      <c r="C5" s="2" t="s">
        <v>9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I5" s="2"/>
    </row>
    <row r="6" spans="1:9" ht="17.399999999999999" x14ac:dyDescent="0.45">
      <c r="A6" s="2">
        <v>105</v>
      </c>
      <c r="B6" s="2" t="s">
        <v>16</v>
      </c>
      <c r="C6" s="2" t="s">
        <v>8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I6" s="2"/>
    </row>
    <row r="7" spans="1:9" ht="17.399999999999999" x14ac:dyDescent="0.45">
      <c r="A7" s="2">
        <v>106</v>
      </c>
      <c r="B7" s="2" t="s">
        <v>17</v>
      </c>
      <c r="C7" s="2" t="s">
        <v>7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I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Sneha Mondal</cp:lastModifiedBy>
  <dcterms:created xsi:type="dcterms:W3CDTF">2025-12-03T18:32:49Z</dcterms:created>
  <dcterms:modified xsi:type="dcterms:W3CDTF">2025-12-06T17:19:48Z</dcterms:modified>
</cp:coreProperties>
</file>